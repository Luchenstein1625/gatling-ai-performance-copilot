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kmendezg/EMG/DOCENCIA/UAI/MIA - CAPSTONE PROJECT/Sesión Inicial/"/>
    </mc:Choice>
  </mc:AlternateContent>
  <xr:revisionPtr revIDLastSave="0" documentId="13_ncr:1_{712F71DB-49BC-2243-A2FC-FF87283DC8D7}" xr6:coauthVersionLast="47" xr6:coauthVersionMax="47" xr10:uidLastSave="{00000000-0000-0000-0000-000000000000}"/>
  <bookViews>
    <workbookView xWindow="28800" yWindow="-1180" windowWidth="38400" windowHeight="21600" activeTab="2" xr2:uid="{00000000-000D-0000-FFFF-FFFF00000000}"/>
  </bookViews>
  <sheets>
    <sheet name="Pres1" sheetId="17" r:id="rId1"/>
    <sheet name="Pres2" sheetId="13" r:id="rId2"/>
    <sheet name="Pres3" sheetId="15" r:id="rId3"/>
    <sheet name="P3" sheetId="5" state="hidden" r:id="rId4"/>
    <sheet name="P4" sheetId="6" state="hidden" r:id="rId5"/>
    <sheet name="Informe de Avance" sheetId="7" state="hidden" r:id="rId6"/>
    <sheet name="Informe Final" sheetId="8" state="hidden" r:id="rId7"/>
    <sheet name="Turnos" sheetId="9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8" l="1"/>
  <c r="J19" i="8"/>
  <c r="J18" i="8"/>
  <c r="B18" i="8"/>
  <c r="J17" i="8"/>
  <c r="B17" i="8"/>
  <c r="J16" i="8"/>
  <c r="B16" i="8"/>
  <c r="J15" i="8"/>
  <c r="B15" i="8"/>
  <c r="J14" i="8"/>
  <c r="B14" i="8"/>
  <c r="J13" i="8"/>
  <c r="B13" i="8"/>
  <c r="J12" i="8"/>
  <c r="B12" i="8"/>
  <c r="J11" i="8"/>
  <c r="B11" i="8"/>
  <c r="J10" i="8"/>
  <c r="B10" i="8"/>
  <c r="J9" i="8"/>
  <c r="B9" i="8"/>
  <c r="J8" i="8"/>
  <c r="B8" i="8"/>
  <c r="J7" i="8"/>
  <c r="B7" i="8"/>
  <c r="J20" i="7"/>
  <c r="J19" i="7"/>
  <c r="J18" i="7"/>
  <c r="B18" i="7"/>
  <c r="J17" i="7"/>
  <c r="B17" i="7"/>
  <c r="J16" i="7"/>
  <c r="B16" i="7"/>
  <c r="J15" i="7"/>
  <c r="B15" i="7"/>
  <c r="J14" i="7"/>
  <c r="B14" i="7"/>
  <c r="J13" i="7"/>
  <c r="B13" i="7"/>
  <c r="J12" i="7"/>
  <c r="B12" i="7"/>
  <c r="J11" i="7"/>
  <c r="B11" i="7"/>
  <c r="J10" i="7"/>
  <c r="B10" i="7"/>
  <c r="J9" i="7"/>
  <c r="B9" i="7"/>
  <c r="J8" i="7"/>
  <c r="B8" i="7"/>
  <c r="J7" i="7"/>
  <c r="B7" i="7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H20" i="5"/>
  <c r="B20" i="5"/>
  <c r="B20" i="6" s="1"/>
  <c r="H19" i="5"/>
  <c r="B19" i="5"/>
  <c r="B19" i="6" s="1"/>
  <c r="H18" i="5"/>
  <c r="B18" i="5"/>
  <c r="B18" i="6" s="1"/>
  <c r="H17" i="5"/>
  <c r="B17" i="5"/>
  <c r="B17" i="6" s="1"/>
  <c r="H16" i="5"/>
  <c r="B16" i="5"/>
  <c r="B16" i="6" s="1"/>
  <c r="H15" i="5"/>
  <c r="B15" i="5"/>
  <c r="B15" i="6" s="1"/>
  <c r="H14" i="5"/>
  <c r="B14" i="5"/>
  <c r="B14" i="6" s="1"/>
  <c r="H13" i="5"/>
  <c r="B13" i="5"/>
  <c r="B13" i="6" s="1"/>
  <c r="H12" i="5"/>
  <c r="B12" i="5"/>
  <c r="B12" i="6" s="1"/>
  <c r="H11" i="5"/>
  <c r="B11" i="5"/>
  <c r="B11" i="6" s="1"/>
  <c r="H10" i="5"/>
  <c r="B10" i="5"/>
  <c r="B10" i="6" s="1"/>
  <c r="H9" i="5"/>
  <c r="B9" i="5"/>
  <c r="B9" i="6" s="1"/>
  <c r="H8" i="5"/>
  <c r="B8" i="5"/>
  <c r="B8" i="6" s="1"/>
  <c r="H7" i="5"/>
  <c r="B7" i="5"/>
  <c r="B7" i="6" s="1"/>
</calcChain>
</file>

<file path=xl/sharedStrings.xml><?xml version="1.0" encoding="utf-8"?>
<sst xmlns="http://schemas.openxmlformats.org/spreadsheetml/2006/main" count="239" uniqueCount="168">
  <si>
    <t>Rúbrica</t>
  </si>
  <si>
    <t>Grupo</t>
  </si>
  <si>
    <t>Proyecto</t>
  </si>
  <si>
    <t>Solución</t>
  </si>
  <si>
    <t xml:space="preserve">Presentación </t>
  </si>
  <si>
    <t>Presentación (15%)</t>
  </si>
  <si>
    <t>Nota Final</t>
  </si>
  <si>
    <t>Comentarios</t>
  </si>
  <si>
    <t>Problema</t>
  </si>
  <si>
    <t>Problema y Causas</t>
  </si>
  <si>
    <t>Objetivos</t>
  </si>
  <si>
    <t>Soluciones</t>
  </si>
  <si>
    <t>KPI</t>
  </si>
  <si>
    <t xml:space="preserve">No hay relacion entre el problema y las causas. No identifica causas. </t>
  </si>
  <si>
    <t>Los objetivos declarados no van acorde al problema y sus causas. No define objetivos especificos.</t>
  </si>
  <si>
    <t>No hay abanico de posibles soluciones o las propuestas son inconsecuente con lo que se esperaria para resolver el problema mencionado.</t>
  </si>
  <si>
    <t>No hay métricas o no tienen relación con los objetivos.</t>
  </si>
  <si>
    <t>No se entiende la mayoria de la presentación. Presenta de mala gana o entusiasmo muy bajo</t>
  </si>
  <si>
    <t>Hay un claro diagnostico del problema, identificando las causas principales y cuales deben ser atacadas para resolver el problema.</t>
  </si>
  <si>
    <t>Objetivo general y especificos responden el que se va a hacer de forma clara, apuntando a resolver el problema y sus causas.</t>
  </si>
  <si>
    <t>Buen portafolio inicial de soluciones, justficando porqué son las alternativas adecuadas para el problema.</t>
  </si>
  <si>
    <t>Métricas adecuadas para medir el impacto de la mejora del problema.</t>
  </si>
  <si>
    <t>Volumen adecuado, ritmo apropiado, correcta dicción y apariencia personal. Entusiasmo, energía. Postura efectiva y uso de ayudas visuales</t>
  </si>
  <si>
    <t>Problema y Causas (20%)</t>
  </si>
  <si>
    <t>Objetivos (30%)</t>
  </si>
  <si>
    <t>Soluciones (15%)</t>
  </si>
  <si>
    <t>KPI (20%)</t>
  </si>
  <si>
    <t>Objetivo</t>
  </si>
  <si>
    <t>Presentación</t>
  </si>
  <si>
    <t>Ética</t>
  </si>
  <si>
    <t>Relevancia</t>
  </si>
  <si>
    <t>Fuentes</t>
  </si>
  <si>
    <t>No se identifica de manera clara un problema relacionado a la ingeniería; el enfoque no es adecuado con restecto a los modelos seleccionados.</t>
  </si>
  <si>
    <t>El diseño no tiene un objetivo claro; no existe claridad con respecto a la situación actual; no se definen ni entienden variables de carácter real en la propuesta.</t>
  </si>
  <si>
    <t>Bajo volumen o energía; ritmo muy acelerado o lento; mala dicción; gestos o posturas distraen; apariencia personal no profesional; ayudas visuales y materiales mal utilizados.</t>
  </si>
  <si>
    <t>El alumno no considera dimensiones éticas en su análisis o solución propuesta.</t>
  </si>
  <si>
    <t>No identifica un problema relevante en el área de ingeniería a nivel local, regional y/o global.</t>
  </si>
  <si>
    <t>No se identifican soluciones claras al problema diagnosticado.</t>
  </si>
  <si>
    <t>No se identifica el uso correcto de fuentes y referencias que justifiquen la información entregada en el proyecto.</t>
  </si>
  <si>
    <t>Identifica un problema de ingeniería y selecciona modelos y aproximaciones apropiadas para el análisis en base al enfoque sistémico.</t>
  </si>
  <si>
    <t>Especifica necesidad e Identifica claramente las limitaciones y los criterios de aceptación, evaluación y posterior implementación del diseño.</t>
  </si>
  <si>
    <t>Buen volumen y energía; ritmo y dicción adecuados; evita gestos o posturas que distraigan; apariencia personal profesional; las ayudas visuales son utilizadas con eficacia.</t>
  </si>
  <si>
    <t>El alumno aborda dimensiones éticas relacionadas con la solución propuesta para el problema, las incorpora con éxito a sus recomendaciones .</t>
  </si>
  <si>
    <t>Identifica a nivel local, regional y/o global los problemas críticos y relevantes actuales en relación a la ingeniería.</t>
  </si>
  <si>
    <t>Propone formas de solución desde el punto de vista de ingeniería, resolviendo los objetivos planteados y validando los aspectos técnicos de los supuestos.</t>
  </si>
  <si>
    <t>Es competente en el uso de las fuentes y como se referencian. Identifica la información relevante para justificar los puntos importantes y críticos del proyecto.</t>
  </si>
  <si>
    <t>Problema (20%)</t>
  </si>
  <si>
    <t>Objetivo (20%)</t>
  </si>
  <si>
    <t>Ética (10%)</t>
  </si>
  <si>
    <t>Relevancia (10%)</t>
  </si>
  <si>
    <t>Solución (20%)</t>
  </si>
  <si>
    <t>Fuentes (5%)</t>
  </si>
  <si>
    <t>Introducción</t>
  </si>
  <si>
    <t>Oportunidad</t>
  </si>
  <si>
    <t>Referencias</t>
  </si>
  <si>
    <t>Escritura</t>
  </si>
  <si>
    <t>Contexto deficiente de la empresa e industria donde se realizara el proyecto.</t>
  </si>
  <si>
    <t>El problema y sus causas no quedan claramente definidas o no tienen relación entre ellas.</t>
  </si>
  <si>
    <t>No hay justificación de porqué se resolvera el problema.</t>
  </si>
  <si>
    <t>No hay referencias o no estan estructuradas en el formato APA.</t>
  </si>
  <si>
    <t>No logra comunicarse efectivamente a través de la escritura de un reporte: no sigue un hilo conductor, no respeta estilo ni formato, contiene gran cantidad de errores gramaticales y/o de ortografía.</t>
  </si>
  <si>
    <t>Se entiende los aspectos importantes de la empresa y su participación en la industria, justificando las razones de trabajar con el sponsor.</t>
  </si>
  <si>
    <t>Se explica claramente el problema y como las causas estan afectando la situación.</t>
  </si>
  <si>
    <t>Se identifica claramente una oportunidad a resolver o mejorar de forma justificada.</t>
  </si>
  <si>
    <t>Buenas referencias y correctamente estructuradas en APA.</t>
  </si>
  <si>
    <t>Logra comunicarse efectivamente a través de la escritura de un reporte de un proyecto siguiendo un orden lógico, respetando estilo, formato y reglas de gramática y ortografía.</t>
  </si>
  <si>
    <t>Introducción (5%)</t>
  </si>
  <si>
    <t>Oportunidad (10%)</t>
  </si>
  <si>
    <t>KPI (15%)</t>
  </si>
  <si>
    <t>Referencias (5%)</t>
  </si>
  <si>
    <t>Escritura (15%)</t>
  </si>
  <si>
    <t>Metodologías</t>
  </si>
  <si>
    <t>Discusión y Planificación</t>
  </si>
  <si>
    <t>No hay estado del arte o es incompleto, ademas de una baja explicacion de los modelos a utilizar para resolver el problema; soluciones no adecuadas al problema.</t>
  </si>
  <si>
    <t>Se muestra una planificación poco clara o muy general sobre como abordar los desafíos del próximo periodo.</t>
  </si>
  <si>
    <t>Hay un análisis claro del estado del arte y las herramientas ingenieriles que se requieren utilizar para resovler correctamente el problema diagnosticado.</t>
  </si>
  <si>
    <t>Entendimiento claro de las dificultades vividas y como superarlas, siendo claros en las actividades importantes ha desarrollar en el próximo periodo.</t>
  </si>
  <si>
    <t>Problema (15%)</t>
  </si>
  <si>
    <t>Objetivos (15%)</t>
  </si>
  <si>
    <t>KPI (10%)</t>
  </si>
  <si>
    <t>Metodologías (30%)</t>
  </si>
  <si>
    <t>Discusión y Planificación (10%)</t>
  </si>
  <si>
    <t>Presentación 1</t>
  </si>
  <si>
    <t>26 de marzo</t>
  </si>
  <si>
    <t>2 de abril</t>
  </si>
  <si>
    <t>Grupo 1</t>
  </si>
  <si>
    <t>Grupo 7</t>
  </si>
  <si>
    <t>Grupo 2</t>
  </si>
  <si>
    <t>Grupo 8</t>
  </si>
  <si>
    <t>Grupo 3</t>
  </si>
  <si>
    <t>Grupo 9</t>
  </si>
  <si>
    <t>Grupo 4</t>
  </si>
  <si>
    <t>Grupo 10</t>
  </si>
  <si>
    <t>Grupo 5</t>
  </si>
  <si>
    <t>Grupo 11</t>
  </si>
  <si>
    <t>Grupo 6</t>
  </si>
  <si>
    <t>Grupo 12</t>
  </si>
  <si>
    <t>Descripción del problema</t>
  </si>
  <si>
    <t>Metodología</t>
  </si>
  <si>
    <t>Descripción y visualización de datos</t>
  </si>
  <si>
    <t>hay una descripción de las variables dependientes e independientes a usar</t>
  </si>
  <si>
    <t>hay estadística descriptiva argumentando  relación entre variables dependientes e independientes</t>
  </si>
  <si>
    <t>Vaga descripción del problema</t>
  </si>
  <si>
    <t>Descripción del problema correcta, justificación, evaluación económica del potencial del proyecto, está explícita la innovación del proyecto</t>
  </si>
  <si>
    <t>Descripción del problema correcta, no hay innovación explícita en el proyecto</t>
  </si>
  <si>
    <t>muestran gráficos y análisis que fundan la capacidad de usar la data para predecir y resolver el problema planteado (Exploratory data analysis)</t>
  </si>
  <si>
    <t>Objetivos, Entregables, Alcances</t>
  </si>
  <si>
    <t>Objetivos (10%)</t>
  </si>
  <si>
    <t>Descripción del problema correcta, justificación, objetivos</t>
  </si>
  <si>
    <t>Vaga descripción del problema de negocio a resolver</t>
  </si>
  <si>
    <t>Descripción y visualización de datos (20%)</t>
  </si>
  <si>
    <t>hay solo una evaluación del error del modelo</t>
  </si>
  <si>
    <t>se comparan distintas métricas de error y sobre distintos conjuntos de datos</t>
  </si>
  <si>
    <t>Existe evaluación del posible sobreajuste, significancia y correcto uso de parámetros. Se compara el método contra reglas simples que se usen actualmente para evaluar posibles beneficios</t>
  </si>
  <si>
    <t xml:space="preserve">Objetivos bien planteados, asociados a entregables, con KPI claros y medibles, </t>
  </si>
  <si>
    <t>No hay objetivos del proyecto</t>
  </si>
  <si>
    <t>Objetivos mal redactados y asociados a etapas</t>
  </si>
  <si>
    <t>Se copia alguna metodología analítica</t>
  </si>
  <si>
    <t>Se hacen modificaciones mínimas a la metodología base de acuerdo al proyecto</t>
  </si>
  <si>
    <t>Se especifican modelos, variables, kpi a pronosticar, formas de evaluar el modelo</t>
  </si>
  <si>
    <t>No hay referencias de trabajos similares anteriores</t>
  </si>
  <si>
    <t>Muestran referencias sin describirlas o referencias con problemas de formato o elementos sin fundamento</t>
  </si>
  <si>
    <t>Hay una descripción de las variables dependientes e independientes a usar</t>
  </si>
  <si>
    <t>Hay estadística descriptiva argumentando  relación entre variables dependientes e independientes</t>
  </si>
  <si>
    <t>Muestran gráficos y análisis que fundan la capacidad de usar la data para predecir y resolver el problema planteado (Exploratory data analysis)</t>
  </si>
  <si>
    <t>No hay creación de nuevos atributos ni procesamiento de la data bruta existente</t>
  </si>
  <si>
    <t>Uso de ideas simples de normalizaciones y escalamientos</t>
  </si>
  <si>
    <t>Se describen procesamiento de datos, limpieza, detección de outliers, creación de atributos con sentido de negocio y/o uso de aprendizaje no supervisado para crear nuevos campos</t>
  </si>
  <si>
    <t>Conclusiones, trabajos futuros</t>
  </si>
  <si>
    <t>Análisis de Sensibilidad y Costos</t>
  </si>
  <si>
    <t>Se hace una evaluación incorporando los costos del modelo al equivocarse y recomendación de operación</t>
  </si>
  <si>
    <t>Descripción del problema (5%)</t>
  </si>
  <si>
    <t>Se hacen recomendaciones optimizando costos y cut off del modelo. Se vincula con recomendación óptima, comparación con situación actual, y evaluación económica del proyecto</t>
  </si>
  <si>
    <t>Conclusiones, trabajos futuros (20%)</t>
  </si>
  <si>
    <t>Descripción y visualización de datos (15%)</t>
  </si>
  <si>
    <t>Justificación del Problema</t>
  </si>
  <si>
    <t>Revisión Bibliográfica y Gantt</t>
  </si>
  <si>
    <t>No hay descripción de la empresa cliente ni de la industria</t>
  </si>
  <si>
    <t>Descripción de la empresa cliente y la industria</t>
  </si>
  <si>
    <t>Descripción de la empresa cliente, sin contexto de competidores</t>
  </si>
  <si>
    <t>Usan referencias e ideas que podrían mejorar el diseño del proyecto. Planificación del proyecto</t>
  </si>
  <si>
    <t>Vaga descripción del problema a resolver</t>
  </si>
  <si>
    <t>Introducción (20%)</t>
  </si>
  <si>
    <t>Justificación del Problema (20%)</t>
  </si>
  <si>
    <t>Objetivos, Entregables, Alcances (20%)</t>
  </si>
  <si>
    <t>Metodología (20%)</t>
  </si>
  <si>
    <t>No hay un vínculo entre uso del modelo y apoyo a la decisión de negocio</t>
  </si>
  <si>
    <t>No hay análisis de los resultados</t>
  </si>
  <si>
    <t>Se evalua el cumplimiento de los objetivos del proyecto</t>
  </si>
  <si>
    <t>Se evaluan los objetivos del proyecto, describiendo entregables, y posibles mejoras y extensiones del proyecto</t>
  </si>
  <si>
    <t>Descripción del problema (10%)</t>
  </si>
  <si>
    <t>Análisis de Sensibilidad y Costos (30%)</t>
  </si>
  <si>
    <t>Se especifican modelos, variables, kpi a pronosticar, formas e indicadores a evaluar del modelo</t>
  </si>
  <si>
    <t>Descripción de los datos disponibles</t>
  </si>
  <si>
    <t>No hay descripcion de los datos</t>
  </si>
  <si>
    <t>Existe una volumetría inicial respecto de número de registros, cantidad de variables y medición de la variable a modelar</t>
  </si>
  <si>
    <t>Análisis descriptivo de las variables independientes y dependientes del modelo</t>
  </si>
  <si>
    <t>Análisis Descriptivo de datos (10%)</t>
  </si>
  <si>
    <t>Revisión Bibliográfica y Gantt (10%)</t>
  </si>
  <si>
    <t>Pre-Procesamiento de Datos</t>
  </si>
  <si>
    <t>Evaluación Primera Solución</t>
  </si>
  <si>
    <t>Pre-Procesamiento de Datos (20%)</t>
  </si>
  <si>
    <t>Construcción Primera Solución (20%)</t>
  </si>
  <si>
    <t>Comparación de Soluciones IA</t>
  </si>
  <si>
    <t>Comparación de Soluciones IA (30%)</t>
  </si>
  <si>
    <t>Se usa un solo una solución de IA</t>
  </si>
  <si>
    <t>Se comparan distintos modelos de IA</t>
  </si>
  <si>
    <t>Se comparan distintas soluciones y evaluación de indicadores de errores y sobreajuste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</si>
</sst>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7EADE6"/>
        <bgColor rgb="FF7EADE6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4" fillId="0" borderId="0"/>
    <xf numFmtId="0" fontId="2" fillId="0" borderId="0"/>
    <xf numFmtId="0" fontId="1" fillId="0" borderId="0"/>
    <xf numFmtId="0" fontId="8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right"/>
    </xf>
    <xf numFmtId="0" fontId="7" fillId="2" borderId="0" xfId="0" applyFont="1" applyFill="1"/>
    <xf numFmtId="0" fontId="7" fillId="8" borderId="0" xfId="0" applyFont="1" applyFill="1" applyAlignment="1">
      <alignment horizontal="right"/>
    </xf>
    <xf numFmtId="0" fontId="7" fillId="8" borderId="0" xfId="0" applyFont="1" applyFill="1"/>
    <xf numFmtId="164" fontId="7" fillId="2" borderId="0" xfId="0" applyNumberFormat="1" applyFont="1" applyFill="1" applyAlignment="1">
      <alignment horizontal="center"/>
    </xf>
    <xf numFmtId="0" fontId="4" fillId="0" borderId="3" xfId="0" applyFont="1" applyBorder="1"/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/>
  </cellXfs>
  <cellStyles count="5">
    <cellStyle name="Normal" xfId="0" builtinId="0"/>
    <cellStyle name="Normal 2" xfId="1" xr:uid="{144527CE-B625-430E-A198-ABA915E388E9}"/>
    <cellStyle name="Normal 3" xfId="2" xr:uid="{8DA24009-0DFE-4452-B2DA-2DEEE31BAAF2}"/>
    <cellStyle name="Normal 4" xfId="3" xr:uid="{DAE73DE6-8F66-40D8-9F9A-B9A13091A7A0}"/>
    <cellStyle name="Normal 5" xfId="4" xr:uid="{7DCA58E9-8805-4B44-890A-B8C0A6BE5450}"/>
  </cellStyles>
  <dxfs count="1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6">
    <tableStyle name="P1-style" pivot="0" count="2" xr9:uid="{00000000-0011-0000-FFFF-FFFF00000000}">
      <tableStyleElement type="firstRowStripe" dxfId="11"/>
      <tableStyleElement type="secondRowStripe" dxfId="10"/>
    </tableStyle>
    <tableStyle name="P2-style" pivot="0" count="2" xr9:uid="{00000000-0011-0000-FFFF-FFFF01000000}">
      <tableStyleElement type="firstRowStripe" dxfId="9"/>
      <tableStyleElement type="secondRowStripe" dxfId="8"/>
    </tableStyle>
    <tableStyle name="P3-style" pivot="0" count="2" xr9:uid="{00000000-0011-0000-FFFF-FFFF02000000}">
      <tableStyleElement type="firstRowStripe" dxfId="7"/>
      <tableStyleElement type="secondRowStripe" dxfId="6"/>
    </tableStyle>
    <tableStyle name="P4-style" pivot="0" count="2" xr9:uid="{00000000-0011-0000-FFFF-FFFF03000000}">
      <tableStyleElement type="firstRowStripe" dxfId="5"/>
      <tableStyleElement type="secondRowStripe" dxfId="4"/>
    </tableStyle>
    <tableStyle name="Informe de Avance-style" pivot="0" count="2" xr9:uid="{00000000-0011-0000-FFFF-FFFF04000000}">
      <tableStyleElement type="firstRowStripe" dxfId="3"/>
      <tableStyleElement type="secondRowStripe" dxfId="2"/>
    </tableStyle>
    <tableStyle name="Informe Final-style" pivot="0" count="2" xr9:uid="{00000000-0011-0000-FFFF-FFFF0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7:I20" headerRowCount="0">
  <tableColumns count="8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</tableColumns>
  <tableStyleInfo name="P3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7:K20" headerRowCount="0">
  <tableColumns count="10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</tableColumns>
  <tableStyleInfo name="P4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7:K20" headerRowCount="0">
  <tableColumns count="10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</tableColumns>
  <tableStyleInfo name="Informe de Avanc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7:K20" headerRowCount="0">
  <tableColumns count="10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</tableColumns>
  <tableStyleInfo name="Informe Final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58AF-4A08-487F-891F-0DB27517B254}">
  <sheetPr>
    <tabColor rgb="FF00FF00"/>
    <outlinePr summaryBelow="0" summaryRight="0"/>
    <pageSetUpPr fitToPage="1"/>
  </sheetPr>
  <dimension ref="A1:J7"/>
  <sheetViews>
    <sheetView zoomScale="130" zoomScaleNormal="13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H4" sqref="H4"/>
    </sheetView>
  </sheetViews>
  <sheetFormatPr baseColWidth="10" defaultColWidth="14.33203125" defaultRowHeight="15.75" customHeight="1" x14ac:dyDescent="0.15"/>
  <cols>
    <col min="1" max="1" width="10.6640625" customWidth="1"/>
    <col min="2" max="2" width="40.1640625" customWidth="1"/>
    <col min="3" max="3" width="20.33203125" customWidth="1"/>
    <col min="4" max="4" width="20.5" customWidth="1"/>
    <col min="5" max="5" width="29.5" customWidth="1"/>
    <col min="6" max="8" width="34.6640625" customWidth="1"/>
    <col min="10" max="10" width="55" customWidth="1"/>
  </cols>
  <sheetData>
    <row r="1" spans="1:10" ht="38" x14ac:dyDescent="0.15">
      <c r="A1" s="1"/>
      <c r="B1" s="2" t="s">
        <v>0</v>
      </c>
      <c r="C1" s="2" t="s">
        <v>52</v>
      </c>
      <c r="D1" s="2" t="s">
        <v>135</v>
      </c>
      <c r="E1" s="2" t="s">
        <v>106</v>
      </c>
      <c r="F1" s="2" t="s">
        <v>98</v>
      </c>
      <c r="G1" s="2" t="s">
        <v>153</v>
      </c>
      <c r="H1" s="2" t="s">
        <v>136</v>
      </c>
      <c r="I1" s="2"/>
      <c r="J1" s="2"/>
    </row>
    <row r="2" spans="1:10" ht="42" x14ac:dyDescent="0.15">
      <c r="A2" s="1"/>
      <c r="B2" s="3">
        <v>0</v>
      </c>
      <c r="C2" s="4" t="s">
        <v>137</v>
      </c>
      <c r="D2" s="4" t="s">
        <v>141</v>
      </c>
      <c r="E2" s="4" t="s">
        <v>115</v>
      </c>
      <c r="F2" s="4" t="s">
        <v>117</v>
      </c>
      <c r="G2" s="4" t="s">
        <v>154</v>
      </c>
      <c r="H2" s="4" t="s">
        <v>120</v>
      </c>
      <c r="I2" s="2"/>
      <c r="J2" s="2"/>
    </row>
    <row r="3" spans="1:10" ht="56" x14ac:dyDescent="0.15">
      <c r="A3" s="1"/>
      <c r="B3" s="3">
        <v>0.5</v>
      </c>
      <c r="C3" s="4" t="s">
        <v>139</v>
      </c>
      <c r="D3" s="4" t="s">
        <v>104</v>
      </c>
      <c r="E3" s="4" t="s">
        <v>116</v>
      </c>
      <c r="F3" s="4" t="s">
        <v>118</v>
      </c>
      <c r="G3" s="4" t="s">
        <v>155</v>
      </c>
      <c r="H3" s="4" t="s">
        <v>121</v>
      </c>
      <c r="I3" s="2"/>
      <c r="J3" s="2"/>
    </row>
    <row r="4" spans="1:10" ht="98" x14ac:dyDescent="0.15">
      <c r="A4" s="1"/>
      <c r="B4" s="3">
        <v>1</v>
      </c>
      <c r="C4" s="4" t="s">
        <v>138</v>
      </c>
      <c r="D4" s="4" t="s">
        <v>103</v>
      </c>
      <c r="E4" s="4" t="s">
        <v>114</v>
      </c>
      <c r="F4" s="4" t="s">
        <v>152</v>
      </c>
      <c r="G4" s="4" t="s">
        <v>156</v>
      </c>
      <c r="H4" s="4" t="s">
        <v>140</v>
      </c>
      <c r="I4" s="2"/>
      <c r="J4" s="2"/>
    </row>
    <row r="5" spans="1:10" ht="15.75" customHeight="1" x14ac:dyDescent="0.15">
      <c r="A5" s="17" t="s">
        <v>1</v>
      </c>
      <c r="B5" s="17" t="s">
        <v>2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157</v>
      </c>
      <c r="H5" s="14" t="s">
        <v>158</v>
      </c>
      <c r="I5" s="15" t="s">
        <v>6</v>
      </c>
      <c r="J5" s="16" t="s">
        <v>7</v>
      </c>
    </row>
    <row r="6" spans="1:10" ht="15.75" customHeight="1" x14ac:dyDescent="0.15">
      <c r="A6" s="17"/>
      <c r="B6" s="17"/>
      <c r="C6" s="14"/>
      <c r="D6" s="14"/>
      <c r="E6" s="14"/>
      <c r="F6" s="14"/>
      <c r="G6" s="14"/>
      <c r="H6" s="14"/>
      <c r="I6" s="15"/>
      <c r="J6" s="16"/>
    </row>
    <row r="7" spans="1:10" ht="15.75" customHeight="1" x14ac:dyDescent="0.15">
      <c r="A7" s="17"/>
      <c r="B7" s="17"/>
      <c r="C7" s="14"/>
      <c r="D7" s="14"/>
      <c r="E7" s="14"/>
      <c r="F7" s="14"/>
      <c r="G7" s="14"/>
      <c r="H7" s="14"/>
      <c r="I7" s="15"/>
      <c r="J7" s="16"/>
    </row>
  </sheetData>
  <mergeCells count="10">
    <mergeCell ref="H5:H7"/>
    <mergeCell ref="I5:I7"/>
    <mergeCell ref="J5:J7"/>
    <mergeCell ref="A5:A7"/>
    <mergeCell ref="B5:B7"/>
    <mergeCell ref="C5:C7"/>
    <mergeCell ref="D5:D7"/>
    <mergeCell ref="E5:E7"/>
    <mergeCell ref="F5:F7"/>
    <mergeCell ref="G5:G7"/>
  </mergeCells>
  <printOptions horizontalCentered="1" gridLines="1"/>
  <pageMargins left="0.25" right="0.25" top="0.75" bottom="0.75" header="0" footer="0"/>
  <pageSetup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FE6B-7CE9-4B23-A436-1E309A8256DB}">
  <sheetPr>
    <tabColor rgb="FF00FF00"/>
    <outlinePr summaryBelow="0" summaryRight="0"/>
    <pageSetUpPr fitToPage="1"/>
  </sheetPr>
  <dimension ref="A1:J7"/>
  <sheetViews>
    <sheetView zoomScale="123" zoomScaleNormal="123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H8" sqref="H8"/>
    </sheetView>
  </sheetViews>
  <sheetFormatPr baseColWidth="10" defaultColWidth="14.33203125" defaultRowHeight="15.75" customHeight="1" x14ac:dyDescent="0.15"/>
  <cols>
    <col min="1" max="1" width="10.6640625" customWidth="1"/>
    <col min="2" max="2" width="50.5" customWidth="1"/>
    <col min="3" max="3" width="20.33203125" customWidth="1"/>
    <col min="4" max="4" width="20.5" customWidth="1"/>
    <col min="5" max="6" width="25.5" customWidth="1"/>
    <col min="7" max="8" width="25.33203125" customWidth="1"/>
  </cols>
  <sheetData>
    <row r="1" spans="1:10" ht="57" x14ac:dyDescent="0.15">
      <c r="A1" s="1"/>
      <c r="B1" s="2" t="s">
        <v>0</v>
      </c>
      <c r="C1" s="2" t="s">
        <v>97</v>
      </c>
      <c r="D1" s="2" t="s">
        <v>106</v>
      </c>
      <c r="E1" s="2" t="s">
        <v>98</v>
      </c>
      <c r="F1" s="2" t="s">
        <v>99</v>
      </c>
      <c r="G1" s="2" t="s">
        <v>159</v>
      </c>
      <c r="H1" s="2" t="s">
        <v>160</v>
      </c>
      <c r="I1" s="2"/>
    </row>
    <row r="2" spans="1:10" ht="42" x14ac:dyDescent="0.15">
      <c r="A2" s="1"/>
      <c r="B2" s="3">
        <v>0</v>
      </c>
      <c r="C2" s="4" t="s">
        <v>102</v>
      </c>
      <c r="D2" s="4" t="s">
        <v>115</v>
      </c>
      <c r="E2" s="4" t="s">
        <v>117</v>
      </c>
      <c r="F2" s="4" t="s">
        <v>122</v>
      </c>
      <c r="G2" s="4" t="s">
        <v>125</v>
      </c>
      <c r="H2" s="4" t="s">
        <v>111</v>
      </c>
      <c r="I2" s="2"/>
    </row>
    <row r="3" spans="1:10" ht="56" x14ac:dyDescent="0.15">
      <c r="A3" s="1"/>
      <c r="B3" s="3">
        <v>0.5</v>
      </c>
      <c r="C3" s="4" t="s">
        <v>104</v>
      </c>
      <c r="D3" s="4" t="s">
        <v>116</v>
      </c>
      <c r="E3" s="4" t="s">
        <v>118</v>
      </c>
      <c r="F3" s="4" t="s">
        <v>123</v>
      </c>
      <c r="G3" s="4" t="s">
        <v>126</v>
      </c>
      <c r="H3" s="4" t="s">
        <v>112</v>
      </c>
      <c r="I3" s="2"/>
    </row>
    <row r="4" spans="1:10" ht="98" x14ac:dyDescent="0.15">
      <c r="A4" s="1"/>
      <c r="B4" s="3">
        <v>1</v>
      </c>
      <c r="C4" s="4" t="s">
        <v>103</v>
      </c>
      <c r="D4" s="4" t="s">
        <v>114</v>
      </c>
      <c r="E4" s="4" t="s">
        <v>119</v>
      </c>
      <c r="F4" s="4" t="s">
        <v>124</v>
      </c>
      <c r="G4" s="4" t="s">
        <v>127</v>
      </c>
      <c r="H4" s="4" t="s">
        <v>113</v>
      </c>
      <c r="I4" s="2"/>
    </row>
    <row r="5" spans="1:10" ht="15.75" customHeight="1" x14ac:dyDescent="0.15">
      <c r="A5" s="17" t="s">
        <v>1</v>
      </c>
      <c r="B5" s="17" t="s">
        <v>2</v>
      </c>
      <c r="C5" s="14" t="s">
        <v>150</v>
      </c>
      <c r="D5" s="14" t="s">
        <v>107</v>
      </c>
      <c r="E5" s="14" t="s">
        <v>145</v>
      </c>
      <c r="F5" s="14" t="s">
        <v>110</v>
      </c>
      <c r="G5" s="14" t="s">
        <v>161</v>
      </c>
      <c r="H5" s="14" t="s">
        <v>162</v>
      </c>
      <c r="I5" s="15" t="s">
        <v>6</v>
      </c>
      <c r="J5" s="16" t="s">
        <v>7</v>
      </c>
    </row>
    <row r="6" spans="1:10" ht="15.75" customHeight="1" x14ac:dyDescent="0.15">
      <c r="A6" s="18"/>
      <c r="B6" s="18"/>
      <c r="C6" s="14"/>
      <c r="D6" s="14"/>
      <c r="E6" s="14"/>
      <c r="F6" s="14"/>
      <c r="G6" s="14"/>
      <c r="H6" s="14"/>
      <c r="I6" s="15"/>
      <c r="J6" s="16"/>
    </row>
    <row r="7" spans="1:10" ht="24" customHeight="1" x14ac:dyDescent="0.15">
      <c r="A7" s="18"/>
      <c r="B7" s="18"/>
      <c r="C7" s="14"/>
      <c r="D7" s="14"/>
      <c r="E7" s="14"/>
      <c r="F7" s="14"/>
      <c r="G7" s="14"/>
      <c r="H7" s="14"/>
      <c r="I7" s="15"/>
      <c r="J7" s="16"/>
    </row>
  </sheetData>
  <mergeCells count="10">
    <mergeCell ref="J5:J7"/>
    <mergeCell ref="G5:G7"/>
    <mergeCell ref="H5:H7"/>
    <mergeCell ref="I5:I7"/>
    <mergeCell ref="A5:A7"/>
    <mergeCell ref="B5:B7"/>
    <mergeCell ref="C5:C7"/>
    <mergeCell ref="D5:D7"/>
    <mergeCell ref="E5:E7"/>
    <mergeCell ref="F5:F7"/>
  </mergeCells>
  <printOptions horizontalCentered="1" gridLines="1"/>
  <pageMargins left="0.25" right="0.25" top="0.75" bottom="0.75" header="0" footer="0"/>
  <pageSetup fitToHeight="0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05B-14A1-48B2-955D-E175EAF1BEDD}">
  <sheetPr>
    <tabColor rgb="FF00FF00"/>
    <outlinePr summaryBelow="0" summaryRight="0"/>
    <pageSetUpPr fitToPage="1"/>
  </sheetPr>
  <dimension ref="A1:I7"/>
  <sheetViews>
    <sheetView tabSelected="1" zoomScale="135" zoomScaleNormal="135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E5" sqref="E5:E7"/>
    </sheetView>
  </sheetViews>
  <sheetFormatPr baseColWidth="10" defaultColWidth="14.33203125" defaultRowHeight="15.75" customHeight="1" x14ac:dyDescent="0.15"/>
  <cols>
    <col min="1" max="1" width="10.6640625" customWidth="1"/>
    <col min="2" max="2" width="47.6640625" bestFit="1" customWidth="1"/>
    <col min="3" max="3" width="20.33203125" customWidth="1"/>
    <col min="4" max="4" width="20.5" customWidth="1"/>
    <col min="5" max="5" width="29.5" customWidth="1"/>
    <col min="6" max="7" width="34.6640625" customWidth="1"/>
    <col min="9" max="9" width="55" customWidth="1"/>
  </cols>
  <sheetData>
    <row r="1" spans="1:9" ht="45.75" customHeight="1" x14ac:dyDescent="0.15">
      <c r="A1" s="1"/>
      <c r="B1" s="2" t="s">
        <v>0</v>
      </c>
      <c r="C1" s="2" t="s">
        <v>97</v>
      </c>
      <c r="D1" s="2" t="s">
        <v>99</v>
      </c>
      <c r="E1" s="2" t="s">
        <v>163</v>
      </c>
      <c r="F1" s="2" t="s">
        <v>129</v>
      </c>
      <c r="G1" s="2" t="s">
        <v>128</v>
      </c>
      <c r="H1" s="2"/>
      <c r="I1" s="2"/>
    </row>
    <row r="2" spans="1:9" ht="35.5" customHeight="1" x14ac:dyDescent="0.15">
      <c r="A2" s="1"/>
      <c r="B2" s="3">
        <v>0</v>
      </c>
      <c r="C2" s="4" t="s">
        <v>109</v>
      </c>
      <c r="D2" s="4" t="s">
        <v>100</v>
      </c>
      <c r="E2" s="4" t="s">
        <v>165</v>
      </c>
      <c r="F2" s="4" t="s">
        <v>146</v>
      </c>
      <c r="G2" s="4" t="s">
        <v>147</v>
      </c>
      <c r="H2" s="2"/>
      <c r="I2" s="2"/>
    </row>
    <row r="3" spans="1:9" ht="45.75" customHeight="1" x14ac:dyDescent="0.15">
      <c r="A3" s="1"/>
      <c r="B3" s="3">
        <v>0.5</v>
      </c>
      <c r="C3" s="4" t="s">
        <v>104</v>
      </c>
      <c r="D3" s="4" t="s">
        <v>101</v>
      </c>
      <c r="E3" s="4" t="s">
        <v>166</v>
      </c>
      <c r="F3" s="4" t="s">
        <v>130</v>
      </c>
      <c r="G3" s="4" t="s">
        <v>148</v>
      </c>
      <c r="H3" s="2"/>
      <c r="I3" s="2"/>
    </row>
    <row r="4" spans="1:9" ht="51" customHeight="1" x14ac:dyDescent="0.15">
      <c r="A4" s="1"/>
      <c r="B4" s="3">
        <v>1</v>
      </c>
      <c r="C4" s="4" t="s">
        <v>108</v>
      </c>
      <c r="D4" s="4" t="s">
        <v>105</v>
      </c>
      <c r="E4" s="4" t="s">
        <v>167</v>
      </c>
      <c r="F4" s="4" t="s">
        <v>132</v>
      </c>
      <c r="G4" s="4" t="s">
        <v>149</v>
      </c>
      <c r="H4" s="2"/>
      <c r="I4" s="2"/>
    </row>
    <row r="5" spans="1:9" ht="15.75" customHeight="1" x14ac:dyDescent="0.15">
      <c r="A5" s="17" t="s">
        <v>1</v>
      </c>
      <c r="B5" s="17" t="s">
        <v>2</v>
      </c>
      <c r="C5" s="14" t="s">
        <v>131</v>
      </c>
      <c r="D5" s="14" t="s">
        <v>134</v>
      </c>
      <c r="E5" s="14" t="s">
        <v>164</v>
      </c>
      <c r="F5" s="14" t="s">
        <v>151</v>
      </c>
      <c r="G5" s="14" t="s">
        <v>133</v>
      </c>
      <c r="H5" s="15" t="s">
        <v>6</v>
      </c>
      <c r="I5" s="16" t="s">
        <v>7</v>
      </c>
    </row>
    <row r="6" spans="1:9" ht="15.75" customHeight="1" x14ac:dyDescent="0.15">
      <c r="A6" s="18"/>
      <c r="B6" s="18"/>
      <c r="C6" s="14"/>
      <c r="D6" s="14"/>
      <c r="E6" s="14"/>
      <c r="F6" s="14"/>
      <c r="G6" s="14"/>
      <c r="H6" s="18"/>
      <c r="I6" s="18"/>
    </row>
    <row r="7" spans="1:9" ht="15.75" customHeight="1" x14ac:dyDescent="0.15">
      <c r="A7" s="18"/>
      <c r="B7" s="18"/>
      <c r="C7" s="14"/>
      <c r="D7" s="14"/>
      <c r="E7" s="14"/>
      <c r="F7" s="14"/>
      <c r="G7" s="14"/>
      <c r="H7" s="18"/>
      <c r="I7" s="18"/>
    </row>
  </sheetData>
  <mergeCells count="9">
    <mergeCell ref="G5:G7"/>
    <mergeCell ref="H5:H7"/>
    <mergeCell ref="I5:I7"/>
    <mergeCell ref="A5:A7"/>
    <mergeCell ref="B5:B7"/>
    <mergeCell ref="C5:C7"/>
    <mergeCell ref="D5:D7"/>
    <mergeCell ref="E5:E7"/>
    <mergeCell ref="F5:F7"/>
  </mergeCells>
  <printOptions horizontalCentered="1" gridLines="1"/>
  <pageMargins left="0.25" right="0.25" top="0.75" bottom="0.75" header="0" footer="0"/>
  <pageSetup fitToHeight="0" pageOrder="overThenDown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  <pageSetUpPr fitToPage="1"/>
  </sheetPr>
  <dimension ref="A1:I2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33203125" defaultRowHeight="15.75" customHeight="1" x14ac:dyDescent="0.15"/>
  <cols>
    <col min="1" max="1" width="10.6640625" customWidth="1"/>
    <col min="2" max="2" width="20.1640625" customWidth="1"/>
    <col min="3" max="3" width="33" customWidth="1"/>
    <col min="4" max="4" width="23.6640625" customWidth="1"/>
    <col min="5" max="5" width="33.1640625" customWidth="1"/>
    <col min="6" max="6" width="15.33203125" customWidth="1"/>
    <col min="7" max="7" width="28.5" customWidth="1"/>
    <col min="9" max="9" width="55" customWidth="1"/>
  </cols>
  <sheetData>
    <row r="1" spans="1:9" ht="15.75" customHeight="1" x14ac:dyDescent="0.15">
      <c r="A1" s="1"/>
      <c r="B1" s="2" t="s">
        <v>0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4</v>
      </c>
      <c r="H1" s="2"/>
      <c r="I1" s="2"/>
    </row>
    <row r="2" spans="1:9" ht="15.75" customHeight="1" x14ac:dyDescent="0.15">
      <c r="A2" s="1"/>
      <c r="B2" s="3">
        <v>0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2"/>
      <c r="I2" s="2"/>
    </row>
    <row r="3" spans="1:9" ht="15.75" customHeight="1" x14ac:dyDescent="0.15">
      <c r="A3" s="1"/>
      <c r="B3" s="3">
        <v>1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2"/>
      <c r="I3" s="2"/>
    </row>
    <row r="4" spans="1:9" ht="15.75" customHeight="1" x14ac:dyDescent="0.15">
      <c r="A4" s="17" t="s">
        <v>1</v>
      </c>
      <c r="B4" s="17" t="s">
        <v>2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5</v>
      </c>
      <c r="H4" s="15" t="s">
        <v>6</v>
      </c>
      <c r="I4" s="16" t="s">
        <v>7</v>
      </c>
    </row>
    <row r="5" spans="1:9" ht="15.75" customHeight="1" x14ac:dyDescent="0.15">
      <c r="A5" s="18"/>
      <c r="B5" s="18"/>
      <c r="C5" s="18"/>
      <c r="D5" s="18"/>
      <c r="E5" s="18"/>
      <c r="F5" s="18"/>
      <c r="G5" s="18"/>
      <c r="H5" s="18"/>
      <c r="I5" s="18"/>
    </row>
    <row r="6" spans="1:9" ht="15.75" customHeight="1" x14ac:dyDescent="0.15">
      <c r="A6" s="18"/>
      <c r="B6" s="18"/>
      <c r="C6" s="18"/>
      <c r="D6" s="18"/>
      <c r="E6" s="18"/>
      <c r="F6" s="18"/>
      <c r="G6" s="18"/>
      <c r="H6" s="18"/>
      <c r="I6" s="18"/>
    </row>
    <row r="7" spans="1:9" ht="15.75" customHeight="1" x14ac:dyDescent="0.15">
      <c r="A7" s="5">
        <v>1</v>
      </c>
      <c r="B7" s="6" t="e">
        <f>#REF!</f>
        <v>#REF!</v>
      </c>
      <c r="C7" s="6"/>
      <c r="D7" s="6"/>
      <c r="E7" s="6"/>
      <c r="F7" s="6"/>
      <c r="G7" s="6"/>
      <c r="H7" s="7">
        <f t="shared" ref="H7:H20" si="0">(C7*0.2+D7*0.3+E7*0.15+F7*0.2+G7*0.15)*6+1</f>
        <v>1</v>
      </c>
      <c r="I7" s="6"/>
    </row>
    <row r="8" spans="1:9" ht="15.75" customHeight="1" x14ac:dyDescent="0.15">
      <c r="A8" s="5">
        <v>2</v>
      </c>
      <c r="B8" s="6" t="e">
        <f>#REF!</f>
        <v>#REF!</v>
      </c>
      <c r="C8" s="6"/>
      <c r="D8" s="6"/>
      <c r="E8" s="6"/>
      <c r="F8" s="6"/>
      <c r="G8" s="6"/>
      <c r="H8" s="7">
        <f t="shared" si="0"/>
        <v>1</v>
      </c>
      <c r="I8" s="6"/>
    </row>
    <row r="9" spans="1:9" ht="15.75" customHeight="1" x14ac:dyDescent="0.15">
      <c r="A9" s="5">
        <v>3</v>
      </c>
      <c r="B9" s="6" t="e">
        <f>#REF!</f>
        <v>#REF!</v>
      </c>
      <c r="C9" s="6"/>
      <c r="D9" s="6"/>
      <c r="E9" s="6"/>
      <c r="F9" s="6"/>
      <c r="G9" s="6"/>
      <c r="H9" s="7">
        <f t="shared" si="0"/>
        <v>1</v>
      </c>
      <c r="I9" s="6"/>
    </row>
    <row r="10" spans="1:9" ht="15.75" customHeight="1" x14ac:dyDescent="0.15">
      <c r="A10" s="5">
        <v>4</v>
      </c>
      <c r="B10" s="6" t="e">
        <f>#REF!</f>
        <v>#REF!</v>
      </c>
      <c r="C10" s="6"/>
      <c r="D10" s="6"/>
      <c r="E10" s="6"/>
      <c r="F10" s="6"/>
      <c r="G10" s="6"/>
      <c r="H10" s="7">
        <f t="shared" si="0"/>
        <v>1</v>
      </c>
      <c r="I10" s="6"/>
    </row>
    <row r="11" spans="1:9" ht="15.75" customHeight="1" x14ac:dyDescent="0.15">
      <c r="A11" s="5">
        <v>5</v>
      </c>
      <c r="B11" s="6" t="e">
        <f>#REF!</f>
        <v>#REF!</v>
      </c>
      <c r="C11" s="6"/>
      <c r="D11" s="6"/>
      <c r="E11" s="6"/>
      <c r="F11" s="6"/>
      <c r="G11" s="6"/>
      <c r="H11" s="7">
        <f t="shared" si="0"/>
        <v>1</v>
      </c>
      <c r="I11" s="6"/>
    </row>
    <row r="12" spans="1:9" ht="15.75" customHeight="1" x14ac:dyDescent="0.15">
      <c r="A12" s="5">
        <v>6</v>
      </c>
      <c r="B12" s="6" t="e">
        <f>#REF!</f>
        <v>#REF!</v>
      </c>
      <c r="C12" s="6"/>
      <c r="D12" s="6"/>
      <c r="E12" s="6"/>
      <c r="F12" s="6"/>
      <c r="G12" s="6"/>
      <c r="H12" s="7">
        <f t="shared" si="0"/>
        <v>1</v>
      </c>
      <c r="I12" s="6"/>
    </row>
    <row r="13" spans="1:9" ht="15.75" customHeight="1" x14ac:dyDescent="0.15">
      <c r="A13" s="5">
        <v>7</v>
      </c>
      <c r="B13" s="6" t="e">
        <f>#REF!</f>
        <v>#REF!</v>
      </c>
      <c r="C13" s="6"/>
      <c r="D13" s="6"/>
      <c r="E13" s="6"/>
      <c r="F13" s="6"/>
      <c r="G13" s="6"/>
      <c r="H13" s="7">
        <f t="shared" si="0"/>
        <v>1</v>
      </c>
      <c r="I13" s="6"/>
    </row>
    <row r="14" spans="1:9" ht="15.75" customHeight="1" x14ac:dyDescent="0.15">
      <c r="A14" s="5">
        <v>8</v>
      </c>
      <c r="B14" s="6" t="e">
        <f>#REF!</f>
        <v>#REF!</v>
      </c>
      <c r="C14" s="6"/>
      <c r="D14" s="6"/>
      <c r="E14" s="6"/>
      <c r="F14" s="6"/>
      <c r="G14" s="6"/>
      <c r="H14" s="7">
        <f t="shared" si="0"/>
        <v>1</v>
      </c>
      <c r="I14" s="6"/>
    </row>
    <row r="15" spans="1:9" ht="15.75" customHeight="1" x14ac:dyDescent="0.15">
      <c r="A15" s="5">
        <v>9</v>
      </c>
      <c r="B15" s="6" t="e">
        <f>#REF!</f>
        <v>#REF!</v>
      </c>
      <c r="C15" s="6"/>
      <c r="D15" s="6"/>
      <c r="E15" s="6"/>
      <c r="F15" s="6"/>
      <c r="G15" s="6"/>
      <c r="H15" s="7">
        <f t="shared" si="0"/>
        <v>1</v>
      </c>
      <c r="I15" s="6"/>
    </row>
    <row r="16" spans="1:9" ht="15.75" customHeight="1" x14ac:dyDescent="0.15">
      <c r="A16" s="5">
        <v>10</v>
      </c>
      <c r="B16" s="6" t="e">
        <f>#REF!</f>
        <v>#REF!</v>
      </c>
      <c r="C16" s="6"/>
      <c r="D16" s="6"/>
      <c r="E16" s="6"/>
      <c r="F16" s="6"/>
      <c r="G16" s="6"/>
      <c r="H16" s="7">
        <f t="shared" si="0"/>
        <v>1</v>
      </c>
      <c r="I16" s="6"/>
    </row>
    <row r="17" spans="1:9" ht="15.75" customHeight="1" x14ac:dyDescent="0.15">
      <c r="A17" s="5">
        <v>11</v>
      </c>
      <c r="B17" s="6" t="e">
        <f>#REF!</f>
        <v>#REF!</v>
      </c>
      <c r="C17" s="6"/>
      <c r="D17" s="6"/>
      <c r="E17" s="6"/>
      <c r="F17" s="6"/>
      <c r="G17" s="6"/>
      <c r="H17" s="7">
        <f t="shared" si="0"/>
        <v>1</v>
      </c>
      <c r="I17" s="6"/>
    </row>
    <row r="18" spans="1:9" ht="15.75" customHeight="1" x14ac:dyDescent="0.15">
      <c r="A18" s="5">
        <v>12</v>
      </c>
      <c r="B18" s="6" t="e">
        <f>#REF!</f>
        <v>#REF!</v>
      </c>
      <c r="C18" s="6"/>
      <c r="D18" s="6"/>
      <c r="E18" s="6"/>
      <c r="F18" s="6"/>
      <c r="G18" s="6"/>
      <c r="H18" s="7">
        <f t="shared" si="0"/>
        <v>1</v>
      </c>
      <c r="I18" s="6"/>
    </row>
    <row r="19" spans="1:9" ht="15.75" customHeight="1" x14ac:dyDescent="0.15">
      <c r="A19" s="5">
        <v>13</v>
      </c>
      <c r="B19" s="6" t="e">
        <f>#REF!</f>
        <v>#REF!</v>
      </c>
      <c r="C19" s="6"/>
      <c r="D19" s="6"/>
      <c r="E19" s="6"/>
      <c r="F19" s="6"/>
      <c r="G19" s="6"/>
      <c r="H19" s="7">
        <f t="shared" si="0"/>
        <v>1</v>
      </c>
      <c r="I19" s="6"/>
    </row>
    <row r="20" spans="1:9" ht="15.75" customHeight="1" x14ac:dyDescent="0.15">
      <c r="A20" s="5">
        <v>14</v>
      </c>
      <c r="B20" s="6" t="e">
        <f>#REF!</f>
        <v>#REF!</v>
      </c>
      <c r="C20" s="6"/>
      <c r="D20" s="6"/>
      <c r="E20" s="6"/>
      <c r="F20" s="6"/>
      <c r="G20" s="6"/>
      <c r="H20" s="7">
        <f t="shared" si="0"/>
        <v>1</v>
      </c>
      <c r="I20" s="6"/>
    </row>
  </sheetData>
  <mergeCells count="9">
    <mergeCell ref="B4:B6"/>
    <mergeCell ref="A4:A6"/>
    <mergeCell ref="H4:H6"/>
    <mergeCell ref="I4:I6"/>
    <mergeCell ref="G4:G6"/>
    <mergeCell ref="F4:F6"/>
    <mergeCell ref="E4:E6"/>
    <mergeCell ref="D4:D6"/>
    <mergeCell ref="C4:C6"/>
  </mergeCells>
  <printOptions horizontalCentered="1" gridLines="1"/>
  <pageMargins left="0.25" right="0.25" top="0.75" bottom="0.75" header="0" footer="0"/>
  <pageSetup fitToHeight="0" pageOrder="overThenDown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  <pageSetUpPr fitToPage="1"/>
  </sheetPr>
  <dimension ref="A1:K2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33203125" defaultRowHeight="15.75" customHeight="1" x14ac:dyDescent="0.15"/>
  <cols>
    <col min="1" max="1" width="10.6640625" customWidth="1"/>
    <col min="2" max="2" width="20.1640625" customWidth="1"/>
    <col min="3" max="3" width="32.5" customWidth="1"/>
    <col min="4" max="4" width="31.6640625" customWidth="1"/>
    <col min="5" max="5" width="41" customWidth="1"/>
    <col min="6" max="6" width="33.6640625" customWidth="1"/>
    <col min="7" max="7" width="28" customWidth="1"/>
    <col min="8" max="8" width="34.6640625" customWidth="1"/>
    <col min="9" max="9" width="37.1640625" customWidth="1"/>
    <col min="11" max="11" width="55" customWidth="1"/>
  </cols>
  <sheetData>
    <row r="1" spans="1:11" ht="15.75" customHeight="1" x14ac:dyDescent="0.15">
      <c r="A1" s="1"/>
      <c r="B1" s="2" t="s">
        <v>0</v>
      </c>
      <c r="C1" s="2" t="s">
        <v>8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</v>
      </c>
      <c r="I1" s="2" t="s">
        <v>31</v>
      </c>
      <c r="J1" s="2"/>
      <c r="K1" s="2"/>
    </row>
    <row r="2" spans="1:11" ht="15.75" customHeight="1" x14ac:dyDescent="0.15">
      <c r="A2" s="1"/>
      <c r="B2" s="3">
        <v>0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2"/>
      <c r="K2" s="2"/>
    </row>
    <row r="3" spans="1:11" ht="15.75" customHeight="1" x14ac:dyDescent="0.15">
      <c r="A3" s="1"/>
      <c r="B3" s="3">
        <v>1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45</v>
      </c>
      <c r="J3" s="2"/>
      <c r="K3" s="2"/>
    </row>
    <row r="4" spans="1:11" ht="15.75" customHeight="1" x14ac:dyDescent="0.15">
      <c r="A4" s="17" t="s">
        <v>1</v>
      </c>
      <c r="B4" s="17" t="s">
        <v>2</v>
      </c>
      <c r="C4" s="14" t="s">
        <v>46</v>
      </c>
      <c r="D4" s="14" t="s">
        <v>47</v>
      </c>
      <c r="E4" s="14" t="s">
        <v>5</v>
      </c>
      <c r="F4" s="14" t="s">
        <v>48</v>
      </c>
      <c r="G4" s="14" t="s">
        <v>49</v>
      </c>
      <c r="H4" s="14" t="s">
        <v>50</v>
      </c>
      <c r="I4" s="14" t="s">
        <v>51</v>
      </c>
      <c r="J4" s="15" t="s">
        <v>6</v>
      </c>
      <c r="K4" s="16" t="s">
        <v>7</v>
      </c>
    </row>
    <row r="5" spans="1:11" ht="15.75" customHeight="1" x14ac:dyDescent="0.1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 ht="15.75" customHeight="1" x14ac:dyDescent="0.1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ht="15.75" customHeight="1" x14ac:dyDescent="0.15">
      <c r="A7" s="5">
        <v>1</v>
      </c>
      <c r="B7" s="6" t="e">
        <f>'P3'!B7</f>
        <v>#REF!</v>
      </c>
      <c r="C7" s="6"/>
      <c r="D7" s="6"/>
      <c r="E7" s="6"/>
      <c r="F7" s="6"/>
      <c r="G7" s="6"/>
      <c r="H7" s="6"/>
      <c r="I7" s="6"/>
      <c r="J7" s="7">
        <f t="shared" ref="J7:J20" si="0">IF(F7="N",(C7*0.2+D7*0.2+E7*0.15+G7*0.2+H7*0.2+I7*0.05)*6+1,(C7*0.2+D7*0.2+E7*0.15+F7*0.1+G7*0.1+H7*0.2+I7*0.05)*6+1)</f>
        <v>1</v>
      </c>
      <c r="K7" s="6"/>
    </row>
    <row r="8" spans="1:11" ht="15.75" customHeight="1" x14ac:dyDescent="0.15">
      <c r="A8" s="5">
        <v>2</v>
      </c>
      <c r="B8" s="6" t="e">
        <f>'P3'!B8</f>
        <v>#REF!</v>
      </c>
      <c r="C8" s="6"/>
      <c r="D8" s="6"/>
      <c r="E8" s="6"/>
      <c r="F8" s="6"/>
      <c r="G8" s="6"/>
      <c r="H8" s="6"/>
      <c r="I8" s="6"/>
      <c r="J8" s="7">
        <f t="shared" si="0"/>
        <v>1</v>
      </c>
      <c r="K8" s="6"/>
    </row>
    <row r="9" spans="1:11" ht="15.75" customHeight="1" x14ac:dyDescent="0.15">
      <c r="A9" s="5">
        <v>3</v>
      </c>
      <c r="B9" s="6" t="e">
        <f>'P3'!B9</f>
        <v>#REF!</v>
      </c>
      <c r="C9" s="6"/>
      <c r="D9" s="6"/>
      <c r="E9" s="6"/>
      <c r="F9" s="6"/>
      <c r="G9" s="6"/>
      <c r="H9" s="6"/>
      <c r="I9" s="6"/>
      <c r="J9" s="7">
        <f t="shared" si="0"/>
        <v>1</v>
      </c>
      <c r="K9" s="6"/>
    </row>
    <row r="10" spans="1:11" ht="15.75" customHeight="1" x14ac:dyDescent="0.15">
      <c r="A10" s="5">
        <v>4</v>
      </c>
      <c r="B10" s="6" t="e">
        <f>'P3'!B10</f>
        <v>#REF!</v>
      </c>
      <c r="C10" s="6"/>
      <c r="D10" s="6"/>
      <c r="E10" s="6"/>
      <c r="F10" s="6"/>
      <c r="G10" s="6"/>
      <c r="H10" s="6"/>
      <c r="I10" s="6"/>
      <c r="J10" s="7">
        <f t="shared" si="0"/>
        <v>1</v>
      </c>
      <c r="K10" s="6"/>
    </row>
    <row r="11" spans="1:11" ht="15.75" customHeight="1" x14ac:dyDescent="0.15">
      <c r="A11" s="5">
        <v>5</v>
      </c>
      <c r="B11" s="6" t="e">
        <f>'P3'!B11</f>
        <v>#REF!</v>
      </c>
      <c r="C11" s="6"/>
      <c r="D11" s="6"/>
      <c r="E11" s="6"/>
      <c r="F11" s="6"/>
      <c r="G11" s="6"/>
      <c r="H11" s="6"/>
      <c r="I11" s="6"/>
      <c r="J11" s="7">
        <f t="shared" si="0"/>
        <v>1</v>
      </c>
      <c r="K11" s="6"/>
    </row>
    <row r="12" spans="1:11" ht="15.75" customHeight="1" x14ac:dyDescent="0.15">
      <c r="A12" s="5">
        <v>6</v>
      </c>
      <c r="B12" s="6" t="e">
        <f>'P3'!B12</f>
        <v>#REF!</v>
      </c>
      <c r="C12" s="6"/>
      <c r="D12" s="6"/>
      <c r="E12" s="6"/>
      <c r="F12" s="6"/>
      <c r="G12" s="6"/>
      <c r="H12" s="6"/>
      <c r="I12" s="6"/>
      <c r="J12" s="7">
        <f t="shared" si="0"/>
        <v>1</v>
      </c>
      <c r="K12" s="6"/>
    </row>
    <row r="13" spans="1:11" ht="15.75" customHeight="1" x14ac:dyDescent="0.15">
      <c r="A13" s="5">
        <v>7</v>
      </c>
      <c r="B13" s="6" t="e">
        <f>'P3'!B13</f>
        <v>#REF!</v>
      </c>
      <c r="C13" s="6"/>
      <c r="D13" s="6"/>
      <c r="E13" s="6"/>
      <c r="F13" s="6"/>
      <c r="G13" s="6"/>
      <c r="H13" s="6"/>
      <c r="I13" s="6"/>
      <c r="J13" s="7">
        <f t="shared" si="0"/>
        <v>1</v>
      </c>
      <c r="K13" s="6"/>
    </row>
    <row r="14" spans="1:11" ht="15.75" customHeight="1" x14ac:dyDescent="0.15">
      <c r="A14" s="5">
        <v>8</v>
      </c>
      <c r="B14" s="6" t="e">
        <f>'P3'!B14</f>
        <v>#REF!</v>
      </c>
      <c r="C14" s="6"/>
      <c r="D14" s="6"/>
      <c r="E14" s="6"/>
      <c r="F14" s="6"/>
      <c r="G14" s="6"/>
      <c r="H14" s="6"/>
      <c r="I14" s="6"/>
      <c r="J14" s="7">
        <f t="shared" si="0"/>
        <v>1</v>
      </c>
      <c r="K14" s="6"/>
    </row>
    <row r="15" spans="1:11" ht="15.75" customHeight="1" x14ac:dyDescent="0.15">
      <c r="A15" s="5">
        <v>9</v>
      </c>
      <c r="B15" s="6" t="e">
        <f>'P3'!B15</f>
        <v>#REF!</v>
      </c>
      <c r="C15" s="6"/>
      <c r="D15" s="6"/>
      <c r="E15" s="6"/>
      <c r="F15" s="6"/>
      <c r="G15" s="6"/>
      <c r="H15" s="6"/>
      <c r="I15" s="6"/>
      <c r="J15" s="7">
        <f t="shared" si="0"/>
        <v>1</v>
      </c>
      <c r="K15" s="6"/>
    </row>
    <row r="16" spans="1:11" ht="15.75" customHeight="1" x14ac:dyDescent="0.15">
      <c r="A16" s="5">
        <v>10</v>
      </c>
      <c r="B16" s="6" t="e">
        <f>'P3'!B16</f>
        <v>#REF!</v>
      </c>
      <c r="C16" s="6"/>
      <c r="D16" s="6"/>
      <c r="E16" s="6"/>
      <c r="F16" s="6"/>
      <c r="G16" s="6"/>
      <c r="H16" s="6"/>
      <c r="I16" s="6"/>
      <c r="J16" s="7">
        <f t="shared" si="0"/>
        <v>1</v>
      </c>
      <c r="K16" s="6"/>
    </row>
    <row r="17" spans="1:11" ht="15.75" customHeight="1" x14ac:dyDescent="0.15">
      <c r="A17" s="5">
        <v>11</v>
      </c>
      <c r="B17" s="6" t="e">
        <f>'P3'!B17</f>
        <v>#REF!</v>
      </c>
      <c r="C17" s="6"/>
      <c r="D17" s="6"/>
      <c r="E17" s="6"/>
      <c r="F17" s="6"/>
      <c r="G17" s="6"/>
      <c r="H17" s="6"/>
      <c r="I17" s="6"/>
      <c r="J17" s="7">
        <f t="shared" si="0"/>
        <v>1</v>
      </c>
      <c r="K17" s="6"/>
    </row>
    <row r="18" spans="1:11" ht="15.75" customHeight="1" x14ac:dyDescent="0.15">
      <c r="A18" s="5">
        <v>12</v>
      </c>
      <c r="B18" s="6" t="e">
        <f>'P3'!B18</f>
        <v>#REF!</v>
      </c>
      <c r="C18" s="6"/>
      <c r="D18" s="6"/>
      <c r="E18" s="6"/>
      <c r="F18" s="6"/>
      <c r="G18" s="6"/>
      <c r="H18" s="6"/>
      <c r="I18" s="6"/>
      <c r="J18" s="7">
        <f t="shared" si="0"/>
        <v>1</v>
      </c>
      <c r="K18" s="6"/>
    </row>
    <row r="19" spans="1:11" ht="15.75" customHeight="1" x14ac:dyDescent="0.15">
      <c r="A19" s="5">
        <v>13</v>
      </c>
      <c r="B19" s="6" t="e">
        <f>'P3'!B19</f>
        <v>#REF!</v>
      </c>
      <c r="C19" s="6"/>
      <c r="D19" s="6"/>
      <c r="E19" s="6"/>
      <c r="F19" s="6"/>
      <c r="G19" s="6"/>
      <c r="H19" s="6"/>
      <c r="I19" s="6"/>
      <c r="J19" s="7">
        <f t="shared" si="0"/>
        <v>1</v>
      </c>
      <c r="K19" s="6"/>
    </row>
    <row r="20" spans="1:11" ht="15.75" customHeight="1" x14ac:dyDescent="0.15">
      <c r="A20" s="5">
        <v>14</v>
      </c>
      <c r="B20" s="6" t="e">
        <f>'P3'!B20</f>
        <v>#REF!</v>
      </c>
      <c r="C20" s="6"/>
      <c r="D20" s="6"/>
      <c r="E20" s="6"/>
      <c r="F20" s="6"/>
      <c r="G20" s="6"/>
      <c r="H20" s="6"/>
      <c r="I20" s="6"/>
      <c r="J20" s="7">
        <f t="shared" si="0"/>
        <v>1</v>
      </c>
      <c r="K20" s="6"/>
    </row>
  </sheetData>
  <mergeCells count="11">
    <mergeCell ref="C4:C6"/>
    <mergeCell ref="B4:B6"/>
    <mergeCell ref="A4:A6"/>
    <mergeCell ref="I4:I6"/>
    <mergeCell ref="J4:J6"/>
    <mergeCell ref="D4:D6"/>
    <mergeCell ref="K4:K6"/>
    <mergeCell ref="F4:F6"/>
    <mergeCell ref="E4:E6"/>
    <mergeCell ref="H4:H6"/>
    <mergeCell ref="G4:G6"/>
  </mergeCells>
  <printOptions horizontalCentered="1" gridLines="1"/>
  <pageMargins left="0.25" right="0.25" top="0.75" bottom="0.75" header="0" footer="0"/>
  <pageSetup fitToHeight="0" pageOrder="overThenDown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  <pageSetUpPr fitToPage="1"/>
  </sheetPr>
  <dimension ref="A1:K2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33203125" defaultRowHeight="15.75" customHeight="1" x14ac:dyDescent="0.15"/>
  <cols>
    <col min="1" max="1" width="10.6640625" customWidth="1"/>
    <col min="2" max="2" width="20.1640625" customWidth="1"/>
    <col min="3" max="3" width="27.33203125" customWidth="1"/>
    <col min="4" max="4" width="19.6640625" customWidth="1"/>
    <col min="5" max="5" width="17.6640625" customWidth="1"/>
    <col min="6" max="6" width="23.6640625" customWidth="1"/>
    <col min="7" max="7" width="15.33203125" customWidth="1"/>
    <col min="8" max="8" width="16.6640625" customWidth="1"/>
    <col min="9" max="9" width="35" customWidth="1"/>
    <col min="11" max="11" width="55" customWidth="1"/>
  </cols>
  <sheetData>
    <row r="1" spans="1:11" ht="15.75" customHeight="1" x14ac:dyDescent="0.15">
      <c r="A1" s="1"/>
      <c r="B1" s="2" t="s">
        <v>0</v>
      </c>
      <c r="C1" s="2" t="s">
        <v>52</v>
      </c>
      <c r="D1" s="2" t="s">
        <v>8</v>
      </c>
      <c r="E1" s="2" t="s">
        <v>53</v>
      </c>
      <c r="F1" s="2" t="s">
        <v>10</v>
      </c>
      <c r="G1" s="2" t="s">
        <v>12</v>
      </c>
      <c r="H1" s="2" t="s">
        <v>54</v>
      </c>
      <c r="I1" s="2" t="s">
        <v>55</v>
      </c>
      <c r="J1" s="2"/>
      <c r="K1" s="2"/>
    </row>
    <row r="2" spans="1:11" ht="15.75" customHeight="1" x14ac:dyDescent="0.15">
      <c r="A2" s="1"/>
      <c r="B2" s="3">
        <v>0</v>
      </c>
      <c r="C2" s="4" t="s">
        <v>56</v>
      </c>
      <c r="D2" s="4" t="s">
        <v>57</v>
      </c>
      <c r="E2" s="4" t="s">
        <v>58</v>
      </c>
      <c r="F2" s="4" t="s">
        <v>14</v>
      </c>
      <c r="G2" s="4" t="s">
        <v>16</v>
      </c>
      <c r="H2" s="4" t="s">
        <v>59</v>
      </c>
      <c r="I2" s="4" t="s">
        <v>60</v>
      </c>
      <c r="J2" s="2"/>
      <c r="K2" s="2"/>
    </row>
    <row r="3" spans="1:11" ht="15.75" customHeight="1" x14ac:dyDescent="0.15">
      <c r="A3" s="1"/>
      <c r="B3" s="3">
        <v>1</v>
      </c>
      <c r="C3" s="4" t="s">
        <v>61</v>
      </c>
      <c r="D3" s="4" t="s">
        <v>62</v>
      </c>
      <c r="E3" s="4" t="s">
        <v>63</v>
      </c>
      <c r="F3" s="4" t="s">
        <v>19</v>
      </c>
      <c r="G3" s="4" t="s">
        <v>21</v>
      </c>
      <c r="H3" s="4" t="s">
        <v>64</v>
      </c>
      <c r="I3" s="4" t="s">
        <v>65</v>
      </c>
      <c r="J3" s="2"/>
      <c r="K3" s="2"/>
    </row>
    <row r="4" spans="1:11" ht="15.75" customHeight="1" x14ac:dyDescent="0.15">
      <c r="A4" s="17" t="s">
        <v>1</v>
      </c>
      <c r="B4" s="17" t="s">
        <v>2</v>
      </c>
      <c r="C4" s="16" t="s">
        <v>66</v>
      </c>
      <c r="D4" s="16" t="s">
        <v>46</v>
      </c>
      <c r="E4" s="16" t="s">
        <v>67</v>
      </c>
      <c r="F4" s="16" t="s">
        <v>24</v>
      </c>
      <c r="G4" s="16" t="s">
        <v>68</v>
      </c>
      <c r="H4" s="16" t="s">
        <v>69</v>
      </c>
      <c r="I4" s="16" t="s">
        <v>70</v>
      </c>
      <c r="J4" s="15" t="s">
        <v>6</v>
      </c>
      <c r="K4" s="16" t="s">
        <v>7</v>
      </c>
    </row>
    <row r="5" spans="1:11" ht="15.75" customHeight="1" x14ac:dyDescent="0.1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 ht="15.75" customHeight="1" x14ac:dyDescent="0.1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ht="15.75" customHeight="1" x14ac:dyDescent="0.15">
      <c r="A7" s="5">
        <v>1</v>
      </c>
      <c r="B7" s="6" t="e">
        <f>#REF!</f>
        <v>#REF!</v>
      </c>
      <c r="C7" s="8"/>
      <c r="D7" s="8"/>
      <c r="E7" s="8"/>
      <c r="F7" s="8"/>
      <c r="G7" s="8"/>
      <c r="H7" s="8"/>
      <c r="I7" s="8"/>
      <c r="J7" s="7">
        <f t="shared" ref="J7:J20" si="0">(C7*0.05+D7*0.2+E7*0.1+F7*0.3+G7*0.15+H7*0.05+I7*0.15)*6+1</f>
        <v>1</v>
      </c>
      <c r="K7" s="9"/>
    </row>
    <row r="8" spans="1:11" ht="15.75" customHeight="1" x14ac:dyDescent="0.15">
      <c r="A8" s="5">
        <v>2</v>
      </c>
      <c r="B8" s="6" t="e">
        <f>#REF!</f>
        <v>#REF!</v>
      </c>
      <c r="C8" s="10"/>
      <c r="D8" s="10"/>
      <c r="E8" s="10"/>
      <c r="F8" s="10"/>
      <c r="G8" s="10"/>
      <c r="H8" s="10"/>
      <c r="I8" s="10"/>
      <c r="J8" s="7">
        <f t="shared" si="0"/>
        <v>1</v>
      </c>
      <c r="K8" s="11"/>
    </row>
    <row r="9" spans="1:11" ht="15.75" customHeight="1" x14ac:dyDescent="0.15">
      <c r="A9" s="5">
        <v>3</v>
      </c>
      <c r="B9" s="6" t="e">
        <f>#REF!</f>
        <v>#REF!</v>
      </c>
      <c r="C9" s="8"/>
      <c r="D9" s="8"/>
      <c r="E9" s="8"/>
      <c r="F9" s="8"/>
      <c r="G9" s="8"/>
      <c r="H9" s="8"/>
      <c r="I9" s="8"/>
      <c r="J9" s="7">
        <f t="shared" si="0"/>
        <v>1</v>
      </c>
      <c r="K9" s="9"/>
    </row>
    <row r="10" spans="1:11" ht="15.75" customHeight="1" x14ac:dyDescent="0.15">
      <c r="A10" s="5">
        <v>4</v>
      </c>
      <c r="B10" s="6" t="e">
        <f>#REF!</f>
        <v>#REF!</v>
      </c>
      <c r="C10" s="10"/>
      <c r="D10" s="10"/>
      <c r="E10" s="10"/>
      <c r="F10" s="10"/>
      <c r="G10" s="10"/>
      <c r="H10" s="10"/>
      <c r="I10" s="10"/>
      <c r="J10" s="7">
        <f t="shared" si="0"/>
        <v>1</v>
      </c>
      <c r="K10" s="11"/>
    </row>
    <row r="11" spans="1:11" ht="15.75" customHeight="1" x14ac:dyDescent="0.15">
      <c r="A11" s="5">
        <v>5</v>
      </c>
      <c r="B11" s="6" t="e">
        <f>#REF!</f>
        <v>#REF!</v>
      </c>
      <c r="C11" s="8"/>
      <c r="D11" s="8"/>
      <c r="E11" s="8"/>
      <c r="F11" s="8"/>
      <c r="G11" s="8"/>
      <c r="H11" s="8"/>
      <c r="I11" s="8"/>
      <c r="J11" s="12">
        <f t="shared" si="0"/>
        <v>1</v>
      </c>
      <c r="K11" s="9"/>
    </row>
    <row r="12" spans="1:11" ht="15.75" customHeight="1" x14ac:dyDescent="0.15">
      <c r="A12" s="5">
        <v>6</v>
      </c>
      <c r="B12" s="6" t="e">
        <f>#REF!</f>
        <v>#REF!</v>
      </c>
      <c r="C12" s="10"/>
      <c r="D12" s="10"/>
      <c r="E12" s="10"/>
      <c r="F12" s="10"/>
      <c r="G12" s="10"/>
      <c r="H12" s="10"/>
      <c r="I12" s="10"/>
      <c r="J12" s="7">
        <f t="shared" si="0"/>
        <v>1</v>
      </c>
      <c r="K12" s="11"/>
    </row>
    <row r="13" spans="1:11" ht="15.75" customHeight="1" x14ac:dyDescent="0.15">
      <c r="A13" s="5">
        <v>7</v>
      </c>
      <c r="B13" s="6" t="e">
        <f>#REF!</f>
        <v>#REF!</v>
      </c>
      <c r="C13" s="8"/>
      <c r="D13" s="8"/>
      <c r="E13" s="8"/>
      <c r="F13" s="8"/>
      <c r="G13" s="8"/>
      <c r="H13" s="8"/>
      <c r="I13" s="8"/>
      <c r="J13" s="12">
        <f t="shared" si="0"/>
        <v>1</v>
      </c>
      <c r="K13" s="9"/>
    </row>
    <row r="14" spans="1:11" ht="15.75" customHeight="1" x14ac:dyDescent="0.15">
      <c r="A14" s="5">
        <v>8</v>
      </c>
      <c r="B14" s="6" t="e">
        <f>#REF!</f>
        <v>#REF!</v>
      </c>
      <c r="C14" s="10"/>
      <c r="D14" s="10"/>
      <c r="E14" s="10"/>
      <c r="F14" s="10"/>
      <c r="G14" s="10"/>
      <c r="H14" s="10"/>
      <c r="I14" s="10"/>
      <c r="J14" s="7">
        <f t="shared" si="0"/>
        <v>1</v>
      </c>
      <c r="K14" s="11"/>
    </row>
    <row r="15" spans="1:11" ht="15.75" customHeight="1" x14ac:dyDescent="0.15">
      <c r="A15" s="5">
        <v>9</v>
      </c>
      <c r="B15" s="6" t="e">
        <f>#REF!</f>
        <v>#REF!</v>
      </c>
      <c r="C15" s="8"/>
      <c r="D15" s="8"/>
      <c r="E15" s="8"/>
      <c r="F15" s="8"/>
      <c r="G15" s="8"/>
      <c r="H15" s="8"/>
      <c r="I15" s="8"/>
      <c r="J15" s="7">
        <f t="shared" si="0"/>
        <v>1</v>
      </c>
      <c r="K15" s="9"/>
    </row>
    <row r="16" spans="1:11" ht="15.75" customHeight="1" x14ac:dyDescent="0.15">
      <c r="A16" s="5">
        <v>10</v>
      </c>
      <c r="B16" s="6" t="e">
        <f>#REF!</f>
        <v>#REF!</v>
      </c>
      <c r="C16" s="10"/>
      <c r="D16" s="10"/>
      <c r="E16" s="10"/>
      <c r="F16" s="10"/>
      <c r="G16" s="10"/>
      <c r="H16" s="10"/>
      <c r="I16" s="10"/>
      <c r="J16" s="7">
        <f t="shared" si="0"/>
        <v>1</v>
      </c>
      <c r="K16" s="11"/>
    </row>
    <row r="17" spans="1:11" ht="15.75" customHeight="1" x14ac:dyDescent="0.15">
      <c r="A17" s="5">
        <v>11</v>
      </c>
      <c r="B17" s="6" t="e">
        <f>#REF!</f>
        <v>#REF!</v>
      </c>
      <c r="C17" s="8"/>
      <c r="D17" s="8"/>
      <c r="E17" s="8"/>
      <c r="F17" s="8"/>
      <c r="G17" s="8"/>
      <c r="H17" s="8"/>
      <c r="I17" s="8"/>
      <c r="J17" s="7">
        <f t="shared" si="0"/>
        <v>1</v>
      </c>
      <c r="K17" s="9"/>
    </row>
    <row r="18" spans="1:11" ht="15.75" customHeight="1" x14ac:dyDescent="0.15">
      <c r="A18" s="5">
        <v>12</v>
      </c>
      <c r="B18" s="6" t="e">
        <f>#REF!</f>
        <v>#REF!</v>
      </c>
      <c r="C18" s="10"/>
      <c r="D18" s="10"/>
      <c r="E18" s="10"/>
      <c r="F18" s="10"/>
      <c r="G18" s="10"/>
      <c r="H18" s="10"/>
      <c r="I18" s="10"/>
      <c r="J18" s="7">
        <f t="shared" si="0"/>
        <v>1</v>
      </c>
      <c r="K18" s="11"/>
    </row>
    <row r="19" spans="1:11" ht="15.75" customHeight="1" x14ac:dyDescent="0.15">
      <c r="A19" s="5">
        <v>13</v>
      </c>
      <c r="B19" s="6"/>
      <c r="C19" s="10"/>
      <c r="D19" s="10"/>
      <c r="E19" s="10"/>
      <c r="F19" s="10"/>
      <c r="G19" s="10"/>
      <c r="H19" s="10"/>
      <c r="I19" s="10"/>
      <c r="J19" s="7">
        <f t="shared" si="0"/>
        <v>1</v>
      </c>
      <c r="K19" s="11"/>
    </row>
    <row r="20" spans="1:11" ht="15.75" customHeight="1" x14ac:dyDescent="0.15">
      <c r="A20" s="5">
        <v>14</v>
      </c>
      <c r="B20" s="6"/>
      <c r="C20" s="10"/>
      <c r="D20" s="10"/>
      <c r="E20" s="10"/>
      <c r="F20" s="10"/>
      <c r="G20" s="10"/>
      <c r="H20" s="10"/>
      <c r="I20" s="10"/>
      <c r="J20" s="7">
        <f t="shared" si="0"/>
        <v>1</v>
      </c>
      <c r="K20" s="11"/>
    </row>
  </sheetData>
  <mergeCells count="11">
    <mergeCell ref="D4:D6"/>
    <mergeCell ref="C4:C6"/>
    <mergeCell ref="B4:B6"/>
    <mergeCell ref="A4:A6"/>
    <mergeCell ref="H4:H6"/>
    <mergeCell ref="J4:J6"/>
    <mergeCell ref="K4:K6"/>
    <mergeCell ref="I4:I6"/>
    <mergeCell ref="E4:E6"/>
    <mergeCell ref="F4:F6"/>
    <mergeCell ref="G4:G6"/>
  </mergeCells>
  <printOptions horizontalCentered="1" gridLines="1"/>
  <pageMargins left="0.25" right="0.25" top="0.75" bottom="0.75" header="0" footer="0"/>
  <pageSetup fitToHeight="0" pageOrder="overThenDown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00FF"/>
    <outlinePr summaryBelow="0" summaryRight="0"/>
    <pageSetUpPr fitToPage="1"/>
  </sheetPr>
  <dimension ref="A1:K2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33203125" defaultRowHeight="15.75" customHeight="1" x14ac:dyDescent="0.15"/>
  <cols>
    <col min="1" max="1" width="10.6640625" customWidth="1"/>
    <col min="2" max="2" width="20.1640625" customWidth="1"/>
    <col min="3" max="3" width="21.1640625" customWidth="1"/>
    <col min="4" max="4" width="24" customWidth="1"/>
    <col min="5" max="5" width="14.6640625" customWidth="1"/>
    <col min="6" max="6" width="32.33203125" customWidth="1"/>
    <col min="7" max="7" width="33.33203125" customWidth="1"/>
    <col min="8" max="8" width="16.33203125" customWidth="1"/>
    <col min="9" max="9" width="35.6640625" customWidth="1"/>
    <col min="11" max="11" width="55" customWidth="1"/>
  </cols>
  <sheetData>
    <row r="1" spans="1:11" ht="15.75" customHeight="1" x14ac:dyDescent="0.15">
      <c r="A1" s="1"/>
      <c r="B1" s="2" t="s">
        <v>0</v>
      </c>
      <c r="C1" s="2" t="s">
        <v>8</v>
      </c>
      <c r="D1" s="2" t="s">
        <v>10</v>
      </c>
      <c r="E1" s="2" t="s">
        <v>12</v>
      </c>
      <c r="F1" s="2" t="s">
        <v>71</v>
      </c>
      <c r="G1" s="2" t="s">
        <v>72</v>
      </c>
      <c r="H1" s="2" t="s">
        <v>54</v>
      </c>
      <c r="I1" s="2" t="s">
        <v>55</v>
      </c>
      <c r="J1" s="2"/>
      <c r="K1" s="2"/>
    </row>
    <row r="2" spans="1:11" ht="15.75" customHeight="1" x14ac:dyDescent="0.15">
      <c r="A2" s="1"/>
      <c r="B2" s="3">
        <v>0</v>
      </c>
      <c r="C2" s="4" t="s">
        <v>57</v>
      </c>
      <c r="D2" s="4" t="s">
        <v>14</v>
      </c>
      <c r="E2" s="4" t="s">
        <v>16</v>
      </c>
      <c r="F2" s="4" t="s">
        <v>73</v>
      </c>
      <c r="G2" s="4" t="s">
        <v>74</v>
      </c>
      <c r="H2" s="4" t="s">
        <v>59</v>
      </c>
      <c r="I2" s="4" t="s">
        <v>60</v>
      </c>
      <c r="J2" s="2"/>
      <c r="K2" s="2"/>
    </row>
    <row r="3" spans="1:11" ht="15.75" customHeight="1" x14ac:dyDescent="0.15">
      <c r="A3" s="1"/>
      <c r="B3" s="3">
        <v>1</v>
      </c>
      <c r="C3" s="4" t="s">
        <v>62</v>
      </c>
      <c r="D3" s="4" t="s">
        <v>19</v>
      </c>
      <c r="E3" s="4" t="s">
        <v>21</v>
      </c>
      <c r="F3" s="4" t="s">
        <v>75</v>
      </c>
      <c r="G3" s="4" t="s">
        <v>76</v>
      </c>
      <c r="H3" s="4" t="s">
        <v>64</v>
      </c>
      <c r="I3" s="4" t="s">
        <v>65</v>
      </c>
      <c r="J3" s="2"/>
      <c r="K3" s="2"/>
    </row>
    <row r="4" spans="1:11" ht="15.75" customHeight="1" x14ac:dyDescent="0.15">
      <c r="A4" s="17" t="s">
        <v>1</v>
      </c>
      <c r="B4" s="17" t="s">
        <v>2</v>
      </c>
      <c r="C4" s="16" t="s">
        <v>77</v>
      </c>
      <c r="D4" s="16" t="s">
        <v>78</v>
      </c>
      <c r="E4" s="16" t="s">
        <v>79</v>
      </c>
      <c r="F4" s="16" t="s">
        <v>80</v>
      </c>
      <c r="G4" s="16" t="s">
        <v>81</v>
      </c>
      <c r="H4" s="16" t="s">
        <v>69</v>
      </c>
      <c r="I4" s="16" t="s">
        <v>70</v>
      </c>
      <c r="J4" s="15" t="s">
        <v>6</v>
      </c>
      <c r="K4" s="16" t="s">
        <v>7</v>
      </c>
    </row>
    <row r="5" spans="1:11" ht="15.75" customHeight="1" x14ac:dyDescent="0.1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 ht="15.75" customHeight="1" x14ac:dyDescent="0.1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ht="15.75" customHeight="1" x14ac:dyDescent="0.15">
      <c r="A7" s="5">
        <v>1</v>
      </c>
      <c r="B7" s="6" t="e">
        <f>#REF!</f>
        <v>#REF!</v>
      </c>
      <c r="C7" s="8"/>
      <c r="D7" s="8"/>
      <c r="E7" s="8"/>
      <c r="F7" s="8"/>
      <c r="G7" s="8"/>
      <c r="H7" s="8"/>
      <c r="I7" s="8"/>
      <c r="J7" s="7">
        <f t="shared" ref="J7:J20" si="0">(C7*0.15+D7*0.15+E7*0.1+F7*0.3+G7*0.1+H7*0.05+I7*0.15)*6+1</f>
        <v>1</v>
      </c>
      <c r="K7" s="9"/>
    </row>
    <row r="8" spans="1:11" ht="15.75" customHeight="1" x14ac:dyDescent="0.15">
      <c r="A8" s="5">
        <v>2</v>
      </c>
      <c r="B8" s="6" t="e">
        <f>#REF!</f>
        <v>#REF!</v>
      </c>
      <c r="C8" s="10"/>
      <c r="D8" s="10"/>
      <c r="E8" s="10"/>
      <c r="F8" s="10"/>
      <c r="G8" s="10"/>
      <c r="H8" s="10"/>
      <c r="I8" s="10"/>
      <c r="J8" s="7">
        <f t="shared" si="0"/>
        <v>1</v>
      </c>
      <c r="K8" s="11"/>
    </row>
    <row r="9" spans="1:11" ht="15.75" customHeight="1" x14ac:dyDescent="0.15">
      <c r="A9" s="5">
        <v>3</v>
      </c>
      <c r="B9" s="6" t="e">
        <f>#REF!</f>
        <v>#REF!</v>
      </c>
      <c r="C9" s="8"/>
      <c r="D9" s="8"/>
      <c r="E9" s="8"/>
      <c r="F9" s="8"/>
      <c r="G9" s="8"/>
      <c r="H9" s="8"/>
      <c r="I9" s="8"/>
      <c r="J9" s="7">
        <f t="shared" si="0"/>
        <v>1</v>
      </c>
      <c r="K9" s="9"/>
    </row>
    <row r="10" spans="1:11" ht="15.75" customHeight="1" x14ac:dyDescent="0.15">
      <c r="A10" s="5">
        <v>4</v>
      </c>
      <c r="B10" s="6" t="e">
        <f>#REF!</f>
        <v>#REF!</v>
      </c>
      <c r="C10" s="10"/>
      <c r="D10" s="10"/>
      <c r="E10" s="10"/>
      <c r="F10" s="10"/>
      <c r="G10" s="10"/>
      <c r="H10" s="10"/>
      <c r="I10" s="10"/>
      <c r="J10" s="7">
        <f t="shared" si="0"/>
        <v>1</v>
      </c>
      <c r="K10" s="11"/>
    </row>
    <row r="11" spans="1:11" ht="15.75" customHeight="1" x14ac:dyDescent="0.15">
      <c r="A11" s="5">
        <v>5</v>
      </c>
      <c r="B11" s="6" t="e">
        <f>#REF!</f>
        <v>#REF!</v>
      </c>
      <c r="C11" s="8"/>
      <c r="D11" s="8"/>
      <c r="E11" s="8"/>
      <c r="F11" s="8"/>
      <c r="G11" s="8"/>
      <c r="H11" s="8"/>
      <c r="I11" s="8"/>
      <c r="J11" s="7">
        <f t="shared" si="0"/>
        <v>1</v>
      </c>
      <c r="K11" s="9"/>
    </row>
    <row r="12" spans="1:11" ht="15.75" customHeight="1" x14ac:dyDescent="0.15">
      <c r="A12" s="5">
        <v>6</v>
      </c>
      <c r="B12" s="6" t="e">
        <f>#REF!</f>
        <v>#REF!</v>
      </c>
      <c r="C12" s="10"/>
      <c r="D12" s="10"/>
      <c r="E12" s="10"/>
      <c r="F12" s="10"/>
      <c r="G12" s="10"/>
      <c r="H12" s="10"/>
      <c r="I12" s="10"/>
      <c r="J12" s="7">
        <f t="shared" si="0"/>
        <v>1</v>
      </c>
      <c r="K12" s="11"/>
    </row>
    <row r="13" spans="1:11" ht="15.75" customHeight="1" x14ac:dyDescent="0.15">
      <c r="A13" s="5">
        <v>7</v>
      </c>
      <c r="B13" s="6" t="e">
        <f>#REF!</f>
        <v>#REF!</v>
      </c>
      <c r="C13" s="8"/>
      <c r="D13" s="8"/>
      <c r="E13" s="8"/>
      <c r="F13" s="8"/>
      <c r="G13" s="8"/>
      <c r="H13" s="8"/>
      <c r="I13" s="8"/>
      <c r="J13" s="7">
        <f t="shared" si="0"/>
        <v>1</v>
      </c>
      <c r="K13" s="9"/>
    </row>
    <row r="14" spans="1:11" ht="15.75" customHeight="1" x14ac:dyDescent="0.15">
      <c r="A14" s="5">
        <v>8</v>
      </c>
      <c r="B14" s="6" t="e">
        <f>#REF!</f>
        <v>#REF!</v>
      </c>
      <c r="C14" s="10"/>
      <c r="D14" s="10"/>
      <c r="E14" s="10"/>
      <c r="F14" s="10"/>
      <c r="G14" s="10"/>
      <c r="H14" s="10"/>
      <c r="I14" s="10"/>
      <c r="J14" s="7">
        <f t="shared" si="0"/>
        <v>1</v>
      </c>
      <c r="K14" s="11"/>
    </row>
    <row r="15" spans="1:11" ht="15.75" customHeight="1" x14ac:dyDescent="0.15">
      <c r="A15" s="5">
        <v>9</v>
      </c>
      <c r="B15" s="6" t="e">
        <f>#REF!</f>
        <v>#REF!</v>
      </c>
      <c r="C15" s="8"/>
      <c r="D15" s="8"/>
      <c r="E15" s="8"/>
      <c r="F15" s="8"/>
      <c r="G15" s="8"/>
      <c r="H15" s="8"/>
      <c r="I15" s="8"/>
      <c r="J15" s="7">
        <f t="shared" si="0"/>
        <v>1</v>
      </c>
      <c r="K15" s="9"/>
    </row>
    <row r="16" spans="1:11" ht="15.75" customHeight="1" x14ac:dyDescent="0.15">
      <c r="A16" s="5">
        <v>10</v>
      </c>
      <c r="B16" s="6" t="e">
        <f>#REF!</f>
        <v>#REF!</v>
      </c>
      <c r="C16" s="10"/>
      <c r="D16" s="10"/>
      <c r="E16" s="10"/>
      <c r="F16" s="10"/>
      <c r="G16" s="10"/>
      <c r="H16" s="10"/>
      <c r="I16" s="10"/>
      <c r="J16" s="7">
        <f t="shared" si="0"/>
        <v>1</v>
      </c>
      <c r="K16" s="11"/>
    </row>
    <row r="17" spans="1:11" ht="15.75" customHeight="1" x14ac:dyDescent="0.15">
      <c r="A17" s="5">
        <v>11</v>
      </c>
      <c r="B17" s="6" t="e">
        <f>#REF!</f>
        <v>#REF!</v>
      </c>
      <c r="C17" s="8"/>
      <c r="D17" s="8"/>
      <c r="E17" s="8"/>
      <c r="F17" s="8"/>
      <c r="G17" s="8"/>
      <c r="H17" s="8"/>
      <c r="I17" s="8"/>
      <c r="J17" s="7">
        <f t="shared" si="0"/>
        <v>1</v>
      </c>
      <c r="K17" s="9"/>
    </row>
    <row r="18" spans="1:11" ht="15.75" customHeight="1" x14ac:dyDescent="0.15">
      <c r="A18" s="5">
        <v>12</v>
      </c>
      <c r="B18" s="6" t="e">
        <f>#REF!</f>
        <v>#REF!</v>
      </c>
      <c r="C18" s="10"/>
      <c r="D18" s="10"/>
      <c r="E18" s="10"/>
      <c r="F18" s="10"/>
      <c r="G18" s="10"/>
      <c r="H18" s="10"/>
      <c r="I18" s="10"/>
      <c r="J18" s="7">
        <f t="shared" si="0"/>
        <v>1</v>
      </c>
      <c r="K18" s="11"/>
    </row>
    <row r="19" spans="1:11" ht="15.75" customHeight="1" x14ac:dyDescent="0.15">
      <c r="A19" s="5">
        <v>13</v>
      </c>
      <c r="B19" s="6"/>
      <c r="C19" s="10"/>
      <c r="D19" s="10"/>
      <c r="E19" s="10"/>
      <c r="F19" s="10"/>
      <c r="G19" s="10"/>
      <c r="H19" s="10"/>
      <c r="I19" s="10"/>
      <c r="J19" s="7">
        <f t="shared" si="0"/>
        <v>1</v>
      </c>
      <c r="K19" s="11"/>
    </row>
    <row r="20" spans="1:11" ht="15.75" customHeight="1" x14ac:dyDescent="0.15">
      <c r="A20" s="5">
        <v>14</v>
      </c>
      <c r="B20" s="6"/>
      <c r="C20" s="10"/>
      <c r="D20" s="10"/>
      <c r="E20" s="10"/>
      <c r="F20" s="10"/>
      <c r="G20" s="10"/>
      <c r="H20" s="10"/>
      <c r="I20" s="10"/>
      <c r="J20" s="7">
        <f t="shared" si="0"/>
        <v>1</v>
      </c>
      <c r="K20" s="11"/>
    </row>
  </sheetData>
  <mergeCells count="11">
    <mergeCell ref="K4:K6"/>
    <mergeCell ref="I4:I6"/>
    <mergeCell ref="D4:D6"/>
    <mergeCell ref="E4:E6"/>
    <mergeCell ref="F4:F6"/>
    <mergeCell ref="G4:G6"/>
    <mergeCell ref="C4:C6"/>
    <mergeCell ref="B4:B6"/>
    <mergeCell ref="A4:A6"/>
    <mergeCell ref="H4:H6"/>
    <mergeCell ref="J4:J6"/>
  </mergeCells>
  <printOptions horizontalCentered="1" gridLines="1"/>
  <pageMargins left="0.25" right="0.25" top="0.75" bottom="0.75" header="0" footer="0"/>
  <pageSetup fitToHeight="0" pageOrder="overThenDown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8"/>
  <sheetViews>
    <sheetView workbookViewId="0"/>
  </sheetViews>
  <sheetFormatPr baseColWidth="10" defaultColWidth="14.33203125" defaultRowHeight="15.75" customHeight="1" x14ac:dyDescent="0.15"/>
  <sheetData>
    <row r="1" spans="1:2" ht="15.75" customHeight="1" x14ac:dyDescent="0.15">
      <c r="A1" s="19" t="s">
        <v>82</v>
      </c>
      <c r="B1" s="20"/>
    </row>
    <row r="2" spans="1:2" ht="15.75" customHeight="1" x14ac:dyDescent="0.15">
      <c r="A2" s="13" t="s">
        <v>83</v>
      </c>
      <c r="B2" s="13" t="s">
        <v>84</v>
      </c>
    </row>
    <row r="3" spans="1:2" ht="15.75" customHeight="1" x14ac:dyDescent="0.15">
      <c r="A3" s="13" t="s">
        <v>85</v>
      </c>
      <c r="B3" s="13" t="s">
        <v>86</v>
      </c>
    </row>
    <row r="4" spans="1:2" ht="15.75" customHeight="1" x14ac:dyDescent="0.15">
      <c r="A4" s="13" t="s">
        <v>87</v>
      </c>
      <c r="B4" s="13" t="s">
        <v>88</v>
      </c>
    </row>
    <row r="5" spans="1:2" ht="15.75" customHeight="1" x14ac:dyDescent="0.15">
      <c r="A5" s="13" t="s">
        <v>89</v>
      </c>
      <c r="B5" s="13" t="s">
        <v>90</v>
      </c>
    </row>
    <row r="6" spans="1:2" ht="15.75" customHeight="1" x14ac:dyDescent="0.15">
      <c r="A6" s="13" t="s">
        <v>91</v>
      </c>
      <c r="B6" s="13" t="s">
        <v>92</v>
      </c>
    </row>
    <row r="7" spans="1:2" ht="15.75" customHeight="1" x14ac:dyDescent="0.15">
      <c r="A7" s="13" t="s">
        <v>93</v>
      </c>
      <c r="B7" s="13" t="s">
        <v>94</v>
      </c>
    </row>
    <row r="8" spans="1:2" ht="15.75" customHeight="1" x14ac:dyDescent="0.15">
      <c r="A8" s="13" t="s">
        <v>95</v>
      </c>
      <c r="B8" s="13" t="s">
        <v>96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Pres1</vt:lpstr>
      <vt:lpstr>Pres2</vt:lpstr>
      <vt:lpstr>Pres3</vt:lpstr>
      <vt:lpstr>P3</vt:lpstr>
      <vt:lpstr>P4</vt:lpstr>
      <vt:lpstr>Informe de Avance</vt:lpstr>
      <vt:lpstr>Informe Final</vt:lpstr>
      <vt:lpstr>Turnos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Aburto</dc:creator>
  <cp:lastModifiedBy>Erick Mendez Guzman</cp:lastModifiedBy>
  <dcterms:created xsi:type="dcterms:W3CDTF">2019-08-22T23:00:00Z</dcterms:created>
  <dcterms:modified xsi:type="dcterms:W3CDTF">2025-03-10T14:38:13Z</dcterms:modified>
</cp:coreProperties>
</file>