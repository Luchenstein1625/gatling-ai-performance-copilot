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https://d.docs.live.net/5233747c2d2ea2d2/00 - Estudios/MIA-2025/0 - Calendario/"/>
    </mc:Choice>
  </mc:AlternateContent>
  <xr:revisionPtr revIDLastSave="32" documentId="13_ncr:1_{4F2C385E-3AAB-4E3E-AA86-5C27CA9D4889}" xr6:coauthVersionLast="47" xr6:coauthVersionMax="47" xr10:uidLastSave="{BAEA0BEB-BF4A-624B-A851-0471CA476737}"/>
  <bookViews>
    <workbookView xWindow="0" yWindow="740" windowWidth="29040" windowHeight="15840" xr2:uid="{00000000-000D-0000-FFFF-FFFF00000000}"/>
  </bookViews>
  <sheets>
    <sheet name="MIA 2025" sheetId="1" r:id="rId1"/>
    <sheet name="Hoja1" sheetId="4" r:id="rId2"/>
    <sheet name="Calendario 2025" sheetId="2" r:id="rId3"/>
    <sheet name="Calendario 2026" sheetId="3" r:id="rId4"/>
  </sheets>
  <definedNames>
    <definedName name="_xlnm._FilterDatabase" localSheetId="0" hidden="1">'MIA 2025'!$A$1:$H$76</definedName>
  </definedNames>
  <calcPr calcId="191028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6" i="1" l="1"/>
  <c r="C76" i="1"/>
  <c r="A75" i="1"/>
  <c r="C75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C2" i="1"/>
  <c r="A2" i="1"/>
  <c r="F33" i="3"/>
  <c r="N33" i="3" s="1"/>
  <c r="I36" i="3" s="1" a="1"/>
  <c r="I36" i="3" s="1"/>
  <c r="F23" i="3"/>
  <c r="A26" i="3" s="1" a="1"/>
  <c r="A26" i="3" s="1"/>
  <c r="F13" i="3"/>
  <c r="F43" i="3" s="1"/>
  <c r="A6" i="3" a="1"/>
  <c r="A6" i="3" s="1"/>
  <c r="N3" i="3"/>
  <c r="I6" i="3" s="1" a="1"/>
  <c r="I6" i="3" s="1"/>
  <c r="A36" i="2" a="1"/>
  <c r="A36" i="2" s="1"/>
  <c r="F33" i="2"/>
  <c r="N33" i="2" s="1"/>
  <c r="I36" i="2" s="1" a="1"/>
  <c r="I36" i="2" s="1"/>
  <c r="F23" i="2"/>
  <c r="A26" i="2" s="1" a="1"/>
  <c r="A26" i="2" s="1"/>
  <c r="F13" i="2"/>
  <c r="F43" i="2" s="1"/>
  <c r="A6" i="2" a="1"/>
  <c r="A6" i="2" s="1"/>
  <c r="N3" i="2"/>
  <c r="I6" i="2" s="1" a="1"/>
  <c r="I6" i="2" s="1"/>
  <c r="A46" i="3" l="1" a="1"/>
  <c r="A46" i="3" s="1"/>
  <c r="N43" i="3"/>
  <c r="I46" i="3" s="1" a="1"/>
  <c r="I46" i="3" s="1"/>
  <c r="A36" i="3" a="1"/>
  <c r="A36" i="3" s="1"/>
  <c r="N23" i="3"/>
  <c r="I26" i="3" s="1" a="1"/>
  <c r="I26" i="3" s="1"/>
  <c r="F53" i="3"/>
  <c r="N13" i="3"/>
  <c r="I16" i="3" s="1" a="1"/>
  <c r="I16" i="3" s="1"/>
  <c r="A16" i="3" a="1"/>
  <c r="A16" i="3" s="1"/>
  <c r="A46" i="2" a="1"/>
  <c r="A46" i="2" s="1"/>
  <c r="N43" i="2"/>
  <c r="I46" i="2" s="1" a="1"/>
  <c r="I46" i="2" s="1"/>
  <c r="N23" i="2"/>
  <c r="I26" i="2" s="1" a="1"/>
  <c r="I26" i="2" s="1"/>
  <c r="F53" i="2"/>
  <c r="N13" i="2"/>
  <c r="I16" i="2" s="1" a="1"/>
  <c r="I16" i="2" s="1"/>
  <c r="A16" i="2" a="1"/>
  <c r="A16" i="2" s="1"/>
  <c r="A56" i="3" l="1" a="1"/>
  <c r="A56" i="3" s="1"/>
  <c r="N53" i="3"/>
  <c r="I56" i="3" s="1" a="1"/>
  <c r="I56" i="3" s="1"/>
  <c r="A56" i="2" a="1"/>
  <c r="A56" i="2" s="1"/>
  <c r="N53" i="2"/>
  <c r="I56" i="2" s="1" a="1"/>
  <c r="I5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<sst xmlns="http://schemas.openxmlformats.org/spreadsheetml/2006/main" count="601" uniqueCount="57">
  <si>
    <t xml:space="preserve">Dia </t>
  </si>
  <si>
    <t>Fecha</t>
  </si>
  <si>
    <t>MES</t>
  </si>
  <si>
    <t>HORARIO</t>
  </si>
  <si>
    <t>HORAS</t>
  </si>
  <si>
    <t>PROGRAMA</t>
  </si>
  <si>
    <t>ASIGNATURA</t>
  </si>
  <si>
    <t>MODALIDAD</t>
  </si>
  <si>
    <t>17:00 - 19:30</t>
  </si>
  <si>
    <t>DIA 2025</t>
  </si>
  <si>
    <t>Taller de Integracion (Apertura)</t>
  </si>
  <si>
    <t>HIBRIDO</t>
  </si>
  <si>
    <t>17:00 - 21:30</t>
  </si>
  <si>
    <t>Introducción a la IA y Ciencias Cognitivas</t>
  </si>
  <si>
    <t>Representación de Conocimientos</t>
  </si>
  <si>
    <t>Técnicas de Búsqueda y Heurísticas</t>
  </si>
  <si>
    <t>Aprendizaje Automático</t>
  </si>
  <si>
    <t>Visión Artificial</t>
  </si>
  <si>
    <t>Procesamiento de Lenguaje Natural</t>
  </si>
  <si>
    <t>Agentes Inteligentes</t>
  </si>
  <si>
    <t>Tópicos Emergentes en Inteligencia Artificial</t>
  </si>
  <si>
    <t>MIA 2025</t>
  </si>
  <si>
    <t>Aprendizaje Profundo</t>
  </si>
  <si>
    <t xml:space="preserve">Taller de Diseño e Innovación </t>
  </si>
  <si>
    <t>Simulación basada en agentes</t>
  </si>
  <si>
    <t>Tópicos Avanzados en Inteligencia Artificial I</t>
  </si>
  <si>
    <t>Sitemas Bioinspirados</t>
  </si>
  <si>
    <t>Tópicos Avanzados en Inteligencia Artificial II</t>
  </si>
  <si>
    <t>Mes</t>
  </si>
  <si>
    <t>enero</t>
  </si>
  <si>
    <t>Año</t>
  </si>
  <si>
    <t>febrero</t>
  </si>
  <si>
    <t>Calendario</t>
  </si>
  <si>
    <t>Lunes</t>
  </si>
  <si>
    <t>Martes</t>
  </si>
  <si>
    <t>Miércoles</t>
  </si>
  <si>
    <t>Jueves</t>
  </si>
  <si>
    <t>Viernes</t>
  </si>
  <si>
    <t>Sábado</t>
  </si>
  <si>
    <t>Domingo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</si>
  <si>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</si>
  <si>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</si>
  <si>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</si>
  <si>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</si>
  <si>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</si>
  <si>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</si>
  <si>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</si>
  <si>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</si>
  <si>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</si>
  <si>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</si>
  <si>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Online</t>
  </si>
  <si>
    <t>Por definir</t>
  </si>
  <si>
    <t>PROYECTO CAPSTONE</t>
  </si>
  <si>
    <t>Defensa Capstone</t>
  </si>
  <si>
    <t>Si</t>
  </si>
  <si>
    <t>SI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</si>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</sst>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0" xfId="0" applyFill="1"/>
    <xf numFmtId="0" fontId="2" fillId="3" borderId="1" xfId="0" applyFont="1" applyFill="1" applyBorder="1"/>
    <xf numFmtId="0" fontId="1" fillId="4" borderId="0" xfId="0" applyFont="1" applyFill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4" fillId="4" borderId="5" xfId="0" applyNumberFormat="1" applyFont="1" applyFill="1" applyBorder="1" applyAlignment="1">
      <alignment horizontal="center" vertical="center"/>
    </xf>
    <xf numFmtId="164" fontId="4" fillId="4" borderId="6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164" fontId="4" fillId="4" borderId="8" xfId="0" applyNumberFormat="1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164" fontId="4" fillId="4" borderId="10" xfId="0" applyNumberFormat="1" applyFon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4" borderId="5" xfId="0" applyNumberFormat="1" applyFill="1" applyBorder="1" applyAlignment="1">
      <alignment horizontal="center" vertical="center"/>
    </xf>
    <xf numFmtId="164" fontId="0" fillId="4" borderId="6" xfId="0" applyNumberForma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4" fontId="0" fillId="4" borderId="7" xfId="0" applyNumberFormat="1" applyFill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4" borderId="9" xfId="0" applyNumberFormat="1" applyFill="1" applyBorder="1" applyAlignment="1">
      <alignment horizontal="center" vertical="center"/>
    </xf>
    <xf numFmtId="164" fontId="0" fillId="4" borderId="10" xfId="0" applyNumberFormat="1" applyFill="1" applyBorder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0" fontId="5" fillId="2" borderId="0" xfId="0" applyFont="1" applyFill="1"/>
    <xf numFmtId="164" fontId="5" fillId="5" borderId="0" xfId="0" applyNumberFormat="1" applyFont="1" applyFill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14" fontId="0" fillId="8" borderId="11" xfId="0" applyNumberForma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 vertical="center"/>
    </xf>
    <xf numFmtId="0" fontId="0" fillId="0" borderId="11" xfId="0" applyBorder="1"/>
    <xf numFmtId="0" fontId="0" fillId="4" borderId="2" xfId="0" applyFill="1" applyBorder="1" applyAlignment="1">
      <alignment horizontal="center"/>
    </xf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24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A16" workbookViewId="0">
      <selection activeCell="O26" sqref="O26"/>
    </sheetView>
  </sheetViews>
  <sheetFormatPr baseColWidth="10" defaultColWidth="8.83203125" defaultRowHeight="15" x14ac:dyDescent="0.2"/>
  <cols>
    <col min="1" max="6" width="13.83203125" style="36" customWidth="1"/>
    <col min="7" max="7" width="38.5" customWidth="1"/>
    <col min="8" max="8" width="11.5" customWidth="1"/>
  </cols>
  <sheetData>
    <row r="1" spans="1:9" x14ac:dyDescent="0.2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0" t="s">
        <v>7</v>
      </c>
      <c r="I1" s="45" t="s">
        <v>56</v>
      </c>
    </row>
    <row r="2" spans="1:9" ht="16" x14ac:dyDescent="0.2">
      <c r="A2" s="37" t="str">
        <f>TEXT(B2,"dddd")</f>
        <v>lunes</v>
      </c>
      <c r="B2" s="38">
        <v>45775</v>
      </c>
      <c r="C2" s="39" t="str">
        <f>TEXT(B2,"mmmm")</f>
        <v>abril</v>
      </c>
      <c r="D2" s="39" t="s">
        <v>8</v>
      </c>
      <c r="E2" s="39">
        <v>3</v>
      </c>
      <c r="F2" s="39" t="s">
        <v>9</v>
      </c>
      <c r="G2" s="41" t="s">
        <v>10</v>
      </c>
      <c r="H2" s="43" t="s">
        <v>11</v>
      </c>
      <c r="I2" s="39" t="s">
        <v>54</v>
      </c>
    </row>
    <row r="3" spans="1:9" x14ac:dyDescent="0.2">
      <c r="A3" s="37" t="str">
        <f t="shared" ref="A3:A66" si="0">TEXT(B3,"dddd")</f>
        <v>lunes</v>
      </c>
      <c r="B3" s="38">
        <v>45782</v>
      </c>
      <c r="C3" s="40" t="str">
        <f t="shared" ref="C3:C66" si="1">TEXT(B3,"mmmm")</f>
        <v>mayo</v>
      </c>
      <c r="D3" s="40" t="s">
        <v>12</v>
      </c>
      <c r="E3" s="40">
        <v>4</v>
      </c>
      <c r="F3" s="40" t="s">
        <v>9</v>
      </c>
      <c r="G3" s="42" t="s">
        <v>13</v>
      </c>
      <c r="H3" s="44" t="s">
        <v>11</v>
      </c>
      <c r="I3" s="40" t="s">
        <v>54</v>
      </c>
    </row>
    <row r="4" spans="1:9" x14ac:dyDescent="0.2">
      <c r="A4" s="37" t="str">
        <f t="shared" si="0"/>
        <v>lunes</v>
      </c>
      <c r="B4" s="38">
        <v>45789</v>
      </c>
      <c r="C4" s="40" t="str">
        <f t="shared" si="1"/>
        <v>mayo</v>
      </c>
      <c r="D4" s="40" t="s">
        <v>12</v>
      </c>
      <c r="E4" s="40">
        <v>4</v>
      </c>
      <c r="F4" s="40" t="s">
        <v>9</v>
      </c>
      <c r="G4" s="42" t="s">
        <v>13</v>
      </c>
      <c r="H4" s="44" t="s">
        <v>11</v>
      </c>
      <c r="I4" s="40" t="s">
        <v>54</v>
      </c>
    </row>
    <row r="5" spans="1:9" x14ac:dyDescent="0.2">
      <c r="A5" s="37" t="str">
        <f t="shared" si="0"/>
        <v>lunes</v>
      </c>
      <c r="B5" s="38">
        <v>45796</v>
      </c>
      <c r="C5" s="40" t="str">
        <f t="shared" si="1"/>
        <v>mayo</v>
      </c>
      <c r="D5" s="40" t="s">
        <v>12</v>
      </c>
      <c r="E5" s="40">
        <v>4</v>
      </c>
      <c r="F5" s="40" t="s">
        <v>9</v>
      </c>
      <c r="G5" s="42" t="s">
        <v>13</v>
      </c>
      <c r="H5" s="44" t="s">
        <v>11</v>
      </c>
      <c r="I5" s="40" t="s">
        <v>54</v>
      </c>
    </row>
    <row r="6" spans="1:9" x14ac:dyDescent="0.2">
      <c r="A6" s="37" t="str">
        <f t="shared" si="0"/>
        <v>lunes</v>
      </c>
      <c r="B6" s="38">
        <v>45803</v>
      </c>
      <c r="C6" s="40" t="str">
        <f t="shared" si="1"/>
        <v>mayo</v>
      </c>
      <c r="D6" s="40" t="s">
        <v>12</v>
      </c>
      <c r="E6" s="40">
        <v>4</v>
      </c>
      <c r="F6" s="40" t="s">
        <v>9</v>
      </c>
      <c r="G6" s="42" t="s">
        <v>14</v>
      </c>
      <c r="H6" s="44" t="s">
        <v>11</v>
      </c>
      <c r="I6" s="40" t="s">
        <v>55</v>
      </c>
    </row>
    <row r="7" spans="1:9" x14ac:dyDescent="0.2">
      <c r="A7" s="37" t="str">
        <f t="shared" si="0"/>
        <v>lunes</v>
      </c>
      <c r="B7" s="38">
        <v>45810</v>
      </c>
      <c r="C7" s="40" t="str">
        <f t="shared" si="1"/>
        <v>junio</v>
      </c>
      <c r="D7" s="40" t="s">
        <v>12</v>
      </c>
      <c r="E7" s="40">
        <v>4</v>
      </c>
      <c r="F7" s="40" t="s">
        <v>9</v>
      </c>
      <c r="G7" s="42" t="s">
        <v>14</v>
      </c>
      <c r="H7" s="44" t="s">
        <v>11</v>
      </c>
      <c r="I7" s="40" t="s">
        <v>55</v>
      </c>
    </row>
    <row r="8" spans="1:9" x14ac:dyDescent="0.2">
      <c r="A8" s="37" t="str">
        <f t="shared" si="0"/>
        <v>lunes</v>
      </c>
      <c r="B8" s="38">
        <v>45817</v>
      </c>
      <c r="C8" s="40" t="str">
        <f t="shared" si="1"/>
        <v>junio</v>
      </c>
      <c r="D8" s="40" t="s">
        <v>12</v>
      </c>
      <c r="E8" s="40">
        <v>4</v>
      </c>
      <c r="F8" s="40" t="s">
        <v>9</v>
      </c>
      <c r="G8" s="42" t="s">
        <v>14</v>
      </c>
      <c r="H8" s="44" t="s">
        <v>11</v>
      </c>
      <c r="I8" s="40" t="s">
        <v>55</v>
      </c>
    </row>
    <row r="9" spans="1:9" x14ac:dyDescent="0.2">
      <c r="A9" s="37" t="str">
        <f t="shared" si="0"/>
        <v>lunes</v>
      </c>
      <c r="B9" s="38">
        <v>45824</v>
      </c>
      <c r="C9" s="40" t="str">
        <f t="shared" si="1"/>
        <v>junio</v>
      </c>
      <c r="D9" s="40" t="s">
        <v>12</v>
      </c>
      <c r="E9" s="40">
        <v>4</v>
      </c>
      <c r="F9" s="40" t="s">
        <v>9</v>
      </c>
      <c r="G9" s="42" t="s">
        <v>15</v>
      </c>
      <c r="H9" s="44" t="s">
        <v>11</v>
      </c>
      <c r="I9" s="40" t="s">
        <v>55</v>
      </c>
    </row>
    <row r="10" spans="1:9" x14ac:dyDescent="0.2">
      <c r="A10" s="37" t="str">
        <f t="shared" si="0"/>
        <v>lunes</v>
      </c>
      <c r="B10" s="38">
        <v>45831</v>
      </c>
      <c r="C10" s="40" t="str">
        <f t="shared" si="1"/>
        <v>junio</v>
      </c>
      <c r="D10" s="40" t="s">
        <v>12</v>
      </c>
      <c r="E10" s="40">
        <v>4</v>
      </c>
      <c r="F10" s="40" t="s">
        <v>9</v>
      </c>
      <c r="G10" s="42" t="s">
        <v>15</v>
      </c>
      <c r="H10" s="44" t="s">
        <v>11</v>
      </c>
      <c r="I10" s="40" t="s">
        <v>55</v>
      </c>
    </row>
    <row r="11" spans="1:9" x14ac:dyDescent="0.2">
      <c r="A11" s="37" t="str">
        <f t="shared" si="0"/>
        <v>lunes</v>
      </c>
      <c r="B11" s="38">
        <v>45838</v>
      </c>
      <c r="C11" s="40" t="str">
        <f t="shared" si="1"/>
        <v>junio</v>
      </c>
      <c r="D11" s="40" t="s">
        <v>12</v>
      </c>
      <c r="E11" s="40">
        <v>4</v>
      </c>
      <c r="F11" s="40" t="s">
        <v>9</v>
      </c>
      <c r="G11" s="42" t="s">
        <v>15</v>
      </c>
      <c r="H11" s="44" t="s">
        <v>11</v>
      </c>
      <c r="I11" s="40" t="s">
        <v>55</v>
      </c>
    </row>
    <row r="12" spans="1:9" x14ac:dyDescent="0.2">
      <c r="A12" s="37" t="str">
        <f t="shared" si="0"/>
        <v>lunes</v>
      </c>
      <c r="B12" s="38">
        <v>45845</v>
      </c>
      <c r="C12" s="40" t="str">
        <f t="shared" si="1"/>
        <v>julio</v>
      </c>
      <c r="D12" s="40" t="s">
        <v>12</v>
      </c>
      <c r="E12" s="40">
        <v>4</v>
      </c>
      <c r="F12" s="40" t="s">
        <v>9</v>
      </c>
      <c r="G12" s="42" t="s">
        <v>15</v>
      </c>
      <c r="H12" s="44" t="s">
        <v>11</v>
      </c>
      <c r="I12" s="40" t="s">
        <v>55</v>
      </c>
    </row>
    <row r="13" spans="1:9" x14ac:dyDescent="0.2">
      <c r="A13" s="37" t="str">
        <f t="shared" si="0"/>
        <v>lunes</v>
      </c>
      <c r="B13" s="38">
        <v>45852</v>
      </c>
      <c r="C13" s="40" t="str">
        <f t="shared" si="1"/>
        <v>julio</v>
      </c>
      <c r="D13" s="40" t="s">
        <v>12</v>
      </c>
      <c r="E13" s="40">
        <v>4</v>
      </c>
      <c r="F13" s="40" t="s">
        <v>9</v>
      </c>
      <c r="G13" s="42" t="s">
        <v>16</v>
      </c>
      <c r="H13" s="44" t="s">
        <v>11</v>
      </c>
      <c r="I13" s="40" t="s">
        <v>55</v>
      </c>
    </row>
    <row r="14" spans="1:9" x14ac:dyDescent="0.2">
      <c r="A14" s="37" t="str">
        <f t="shared" si="0"/>
        <v>lunes</v>
      </c>
      <c r="B14" s="38">
        <v>45859</v>
      </c>
      <c r="C14" s="40" t="str">
        <f t="shared" si="1"/>
        <v>julio</v>
      </c>
      <c r="D14" s="40" t="s">
        <v>12</v>
      </c>
      <c r="E14" s="40">
        <v>4</v>
      </c>
      <c r="F14" s="40" t="s">
        <v>9</v>
      </c>
      <c r="G14" s="42" t="s">
        <v>16</v>
      </c>
      <c r="H14" s="44" t="s">
        <v>11</v>
      </c>
      <c r="I14" s="40" t="s">
        <v>55</v>
      </c>
    </row>
    <row r="15" spans="1:9" x14ac:dyDescent="0.2">
      <c r="A15" s="37" t="str">
        <f t="shared" si="0"/>
        <v>lunes</v>
      </c>
      <c r="B15" s="38">
        <v>45866</v>
      </c>
      <c r="C15" s="40" t="str">
        <f t="shared" si="1"/>
        <v>julio</v>
      </c>
      <c r="D15" s="40" t="s">
        <v>12</v>
      </c>
      <c r="E15" s="40">
        <v>4</v>
      </c>
      <c r="F15" s="40" t="s">
        <v>9</v>
      </c>
      <c r="G15" s="42" t="s">
        <v>16</v>
      </c>
      <c r="H15" s="44" t="s">
        <v>11</v>
      </c>
      <c r="I15" s="40" t="s">
        <v>55</v>
      </c>
    </row>
    <row r="16" spans="1:9" x14ac:dyDescent="0.2">
      <c r="A16" s="37" t="str">
        <f t="shared" si="0"/>
        <v>lunes</v>
      </c>
      <c r="B16" s="38">
        <v>45873</v>
      </c>
      <c r="C16" s="40" t="str">
        <f t="shared" si="1"/>
        <v>agosto</v>
      </c>
      <c r="D16" s="40" t="s">
        <v>12</v>
      </c>
      <c r="E16" s="40">
        <v>4</v>
      </c>
      <c r="F16" s="40" t="s">
        <v>9</v>
      </c>
      <c r="G16" s="42" t="s">
        <v>16</v>
      </c>
      <c r="H16" s="44" t="s">
        <v>11</v>
      </c>
      <c r="I16" s="40" t="s">
        <v>55</v>
      </c>
    </row>
    <row r="17" spans="1:9" x14ac:dyDescent="0.2">
      <c r="A17" s="37" t="str">
        <f t="shared" si="0"/>
        <v>lunes</v>
      </c>
      <c r="B17" s="38">
        <v>45880</v>
      </c>
      <c r="C17" s="40" t="str">
        <f t="shared" si="1"/>
        <v>agosto</v>
      </c>
      <c r="D17" s="40" t="s">
        <v>12</v>
      </c>
      <c r="E17" s="40">
        <v>4</v>
      </c>
      <c r="F17" s="40" t="s">
        <v>9</v>
      </c>
      <c r="G17" s="42" t="s">
        <v>17</v>
      </c>
      <c r="H17" s="44" t="s">
        <v>11</v>
      </c>
      <c r="I17" s="40" t="s">
        <v>55</v>
      </c>
    </row>
    <row r="18" spans="1:9" x14ac:dyDescent="0.2">
      <c r="A18" s="37" t="str">
        <f t="shared" si="0"/>
        <v>lunes</v>
      </c>
      <c r="B18" s="38">
        <v>45887</v>
      </c>
      <c r="C18" s="40" t="str">
        <f t="shared" si="1"/>
        <v>agosto</v>
      </c>
      <c r="D18" s="40" t="s">
        <v>12</v>
      </c>
      <c r="E18" s="40">
        <v>4</v>
      </c>
      <c r="F18" s="40" t="s">
        <v>9</v>
      </c>
      <c r="G18" s="42" t="s">
        <v>17</v>
      </c>
      <c r="H18" s="44" t="s">
        <v>11</v>
      </c>
      <c r="I18" s="40" t="s">
        <v>55</v>
      </c>
    </row>
    <row r="19" spans="1:9" x14ac:dyDescent="0.2">
      <c r="A19" s="37" t="str">
        <f t="shared" si="0"/>
        <v>lunes</v>
      </c>
      <c r="B19" s="38">
        <v>45894</v>
      </c>
      <c r="C19" s="40" t="str">
        <f t="shared" si="1"/>
        <v>agosto</v>
      </c>
      <c r="D19" s="40" t="s">
        <v>12</v>
      </c>
      <c r="E19" s="40">
        <v>4</v>
      </c>
      <c r="F19" s="40" t="s">
        <v>9</v>
      </c>
      <c r="G19" s="42" t="s">
        <v>17</v>
      </c>
      <c r="H19" s="44" t="s">
        <v>11</v>
      </c>
      <c r="I19" s="40" t="s">
        <v>55</v>
      </c>
    </row>
    <row r="20" spans="1:9" x14ac:dyDescent="0.2">
      <c r="A20" s="37" t="str">
        <f t="shared" si="0"/>
        <v>lunes</v>
      </c>
      <c r="B20" s="38">
        <v>45901</v>
      </c>
      <c r="C20" s="40" t="str">
        <f t="shared" si="1"/>
        <v>septiembre</v>
      </c>
      <c r="D20" s="40" t="s">
        <v>12</v>
      </c>
      <c r="E20" s="40">
        <v>4</v>
      </c>
      <c r="F20" s="40" t="s">
        <v>9</v>
      </c>
      <c r="G20" s="42" t="s">
        <v>17</v>
      </c>
      <c r="H20" s="44" t="s">
        <v>11</v>
      </c>
      <c r="I20" s="40" t="s">
        <v>55</v>
      </c>
    </row>
    <row r="21" spans="1:9" x14ac:dyDescent="0.2">
      <c r="A21" s="37" t="str">
        <f t="shared" si="0"/>
        <v>lunes</v>
      </c>
      <c r="B21" s="38">
        <v>45908</v>
      </c>
      <c r="C21" s="40" t="str">
        <f t="shared" si="1"/>
        <v>septiembre</v>
      </c>
      <c r="D21" s="40" t="s">
        <v>12</v>
      </c>
      <c r="E21" s="40">
        <v>4</v>
      </c>
      <c r="F21" s="40" t="s">
        <v>9</v>
      </c>
      <c r="G21" s="42" t="s">
        <v>18</v>
      </c>
      <c r="H21" s="44" t="s">
        <v>11</v>
      </c>
      <c r="I21" s="40" t="s">
        <v>55</v>
      </c>
    </row>
    <row r="22" spans="1:9" x14ac:dyDescent="0.2">
      <c r="A22" s="37" t="str">
        <f t="shared" si="0"/>
        <v>lunes</v>
      </c>
      <c r="B22" s="38">
        <v>45922</v>
      </c>
      <c r="C22" s="40" t="str">
        <f t="shared" si="1"/>
        <v>septiembre</v>
      </c>
      <c r="D22" s="40" t="s">
        <v>12</v>
      </c>
      <c r="E22" s="40">
        <v>4</v>
      </c>
      <c r="F22" s="40" t="s">
        <v>9</v>
      </c>
      <c r="G22" s="42" t="s">
        <v>18</v>
      </c>
      <c r="H22" s="44" t="s">
        <v>11</v>
      </c>
      <c r="I22" s="40" t="s">
        <v>55</v>
      </c>
    </row>
    <row r="23" spans="1:9" x14ac:dyDescent="0.2">
      <c r="A23" s="37" t="str">
        <f t="shared" si="0"/>
        <v>lunes</v>
      </c>
      <c r="B23" s="38">
        <v>45929</v>
      </c>
      <c r="C23" s="40" t="str">
        <f t="shared" si="1"/>
        <v>septiembre</v>
      </c>
      <c r="D23" s="40" t="s">
        <v>12</v>
      </c>
      <c r="E23" s="40">
        <v>4</v>
      </c>
      <c r="F23" s="40" t="s">
        <v>9</v>
      </c>
      <c r="G23" s="42" t="s">
        <v>18</v>
      </c>
      <c r="H23" s="44" t="s">
        <v>11</v>
      </c>
      <c r="I23" s="40" t="s">
        <v>55</v>
      </c>
    </row>
    <row r="24" spans="1:9" x14ac:dyDescent="0.2">
      <c r="A24" s="37" t="str">
        <f t="shared" si="0"/>
        <v>lunes</v>
      </c>
      <c r="B24" s="38">
        <v>45936</v>
      </c>
      <c r="C24" s="40" t="str">
        <f t="shared" si="1"/>
        <v>octubre</v>
      </c>
      <c r="D24" s="40" t="s">
        <v>12</v>
      </c>
      <c r="E24" s="40">
        <v>4</v>
      </c>
      <c r="F24" s="40" t="s">
        <v>9</v>
      </c>
      <c r="G24" s="42" t="s">
        <v>18</v>
      </c>
      <c r="H24" s="44" t="s">
        <v>11</v>
      </c>
      <c r="I24" s="40" t="s">
        <v>55</v>
      </c>
    </row>
    <row r="25" spans="1:9" x14ac:dyDescent="0.2">
      <c r="A25" s="37" t="str">
        <f t="shared" si="0"/>
        <v>lunes</v>
      </c>
      <c r="B25" s="38">
        <v>45943</v>
      </c>
      <c r="C25" s="40" t="str">
        <f t="shared" si="1"/>
        <v>octubre</v>
      </c>
      <c r="D25" s="40" t="s">
        <v>12</v>
      </c>
      <c r="E25" s="40">
        <v>4</v>
      </c>
      <c r="F25" s="40" t="s">
        <v>9</v>
      </c>
      <c r="G25" s="42" t="s">
        <v>19</v>
      </c>
      <c r="H25" s="44" t="s">
        <v>11</v>
      </c>
      <c r="I25" s="40" t="s">
        <v>55</v>
      </c>
    </row>
    <row r="26" spans="1:9" x14ac:dyDescent="0.2">
      <c r="A26" s="37" t="str">
        <f t="shared" si="0"/>
        <v>lunes</v>
      </c>
      <c r="B26" s="38">
        <v>45950</v>
      </c>
      <c r="C26" s="40" t="str">
        <f t="shared" si="1"/>
        <v>octubre</v>
      </c>
      <c r="D26" s="40" t="s">
        <v>12</v>
      </c>
      <c r="E26" s="40">
        <v>4</v>
      </c>
      <c r="F26" s="40" t="s">
        <v>9</v>
      </c>
      <c r="G26" s="42" t="s">
        <v>19</v>
      </c>
      <c r="H26" s="44" t="s">
        <v>11</v>
      </c>
      <c r="I26" s="40" t="s">
        <v>55</v>
      </c>
    </row>
    <row r="27" spans="1:9" x14ac:dyDescent="0.2">
      <c r="A27" s="37" t="str">
        <f t="shared" si="0"/>
        <v>lunes</v>
      </c>
      <c r="B27" s="38">
        <v>45957</v>
      </c>
      <c r="C27" s="40" t="str">
        <f t="shared" si="1"/>
        <v>octubre</v>
      </c>
      <c r="D27" s="40" t="s">
        <v>12</v>
      </c>
      <c r="E27" s="40">
        <v>4</v>
      </c>
      <c r="F27" s="40" t="s">
        <v>9</v>
      </c>
      <c r="G27" s="42" t="s">
        <v>19</v>
      </c>
      <c r="H27" s="44" t="s">
        <v>11</v>
      </c>
      <c r="I27" s="40" t="s">
        <v>55</v>
      </c>
    </row>
    <row r="28" spans="1:9" x14ac:dyDescent="0.2">
      <c r="A28" s="37" t="str">
        <f t="shared" si="0"/>
        <v>lunes</v>
      </c>
      <c r="B28" s="38">
        <v>45964</v>
      </c>
      <c r="C28" s="40" t="str">
        <f t="shared" si="1"/>
        <v>noviembre</v>
      </c>
      <c r="D28" s="40" t="s">
        <v>12</v>
      </c>
      <c r="E28" s="40">
        <v>4</v>
      </c>
      <c r="F28" s="40" t="s">
        <v>9</v>
      </c>
      <c r="G28" s="42" t="s">
        <v>19</v>
      </c>
      <c r="H28" s="44" t="s">
        <v>11</v>
      </c>
      <c r="I28" s="40" t="s">
        <v>55</v>
      </c>
    </row>
    <row r="29" spans="1:9" x14ac:dyDescent="0.2">
      <c r="A29" s="37" t="str">
        <f t="shared" si="0"/>
        <v>lunes</v>
      </c>
      <c r="B29" s="38">
        <v>45971</v>
      </c>
      <c r="C29" s="40" t="str">
        <f t="shared" si="1"/>
        <v>noviembre</v>
      </c>
      <c r="D29" s="40" t="s">
        <v>12</v>
      </c>
      <c r="E29" s="40">
        <v>4</v>
      </c>
      <c r="F29" s="40" t="s">
        <v>9</v>
      </c>
      <c r="G29" s="42" t="s">
        <v>20</v>
      </c>
      <c r="H29" s="44" t="s">
        <v>11</v>
      </c>
      <c r="I29" s="40" t="s">
        <v>55</v>
      </c>
    </row>
    <row r="30" spans="1:9" x14ac:dyDescent="0.2">
      <c r="A30" s="37" t="str">
        <f t="shared" si="0"/>
        <v>lunes</v>
      </c>
      <c r="B30" s="38">
        <v>45978</v>
      </c>
      <c r="C30" s="40" t="str">
        <f t="shared" si="1"/>
        <v>noviembre</v>
      </c>
      <c r="D30" s="40" t="s">
        <v>12</v>
      </c>
      <c r="E30" s="40">
        <v>4</v>
      </c>
      <c r="F30" s="40" t="s">
        <v>9</v>
      </c>
      <c r="G30" s="42" t="s">
        <v>20</v>
      </c>
      <c r="H30" s="44" t="s">
        <v>11</v>
      </c>
      <c r="I30" s="40" t="s">
        <v>55</v>
      </c>
    </row>
    <row r="31" spans="1:9" x14ac:dyDescent="0.2">
      <c r="A31" s="37" t="str">
        <f t="shared" si="0"/>
        <v>lunes</v>
      </c>
      <c r="B31" s="38">
        <v>45985</v>
      </c>
      <c r="C31" s="40" t="str">
        <f t="shared" si="1"/>
        <v>noviembre</v>
      </c>
      <c r="D31" s="40" t="s">
        <v>12</v>
      </c>
      <c r="E31" s="40">
        <v>4</v>
      </c>
      <c r="F31" s="40" t="s">
        <v>9</v>
      </c>
      <c r="G31" s="42" t="s">
        <v>20</v>
      </c>
      <c r="H31" s="44" t="s">
        <v>11</v>
      </c>
      <c r="I31" s="40" t="s">
        <v>55</v>
      </c>
    </row>
    <row r="32" spans="1:9" x14ac:dyDescent="0.2">
      <c r="A32" s="33" t="str">
        <f t="shared" si="0"/>
        <v>lunes</v>
      </c>
      <c r="B32" s="34">
        <v>45992</v>
      </c>
      <c r="C32" s="35" t="str">
        <f t="shared" si="1"/>
        <v>diciembre</v>
      </c>
      <c r="D32" s="35" t="s">
        <v>12</v>
      </c>
      <c r="E32" s="35">
        <v>4</v>
      </c>
      <c r="F32" s="35" t="s">
        <v>21</v>
      </c>
      <c r="G32" s="29" t="s">
        <v>22</v>
      </c>
      <c r="H32" s="29" t="s">
        <v>11</v>
      </c>
      <c r="I32" s="46"/>
    </row>
    <row r="33" spans="1:9" x14ac:dyDescent="0.2">
      <c r="A33" s="33" t="str">
        <f t="shared" si="0"/>
        <v>lunes</v>
      </c>
      <c r="B33" s="34">
        <v>46006</v>
      </c>
      <c r="C33" s="35" t="str">
        <f t="shared" si="1"/>
        <v>diciembre</v>
      </c>
      <c r="D33" s="35" t="s">
        <v>12</v>
      </c>
      <c r="E33" s="35">
        <v>4</v>
      </c>
      <c r="F33" s="35" t="s">
        <v>21</v>
      </c>
      <c r="G33" s="29" t="s">
        <v>22</v>
      </c>
      <c r="H33" s="29" t="s">
        <v>11</v>
      </c>
      <c r="I33" s="46"/>
    </row>
    <row r="34" spans="1:9" x14ac:dyDescent="0.2">
      <c r="A34" s="33" t="str">
        <f t="shared" si="0"/>
        <v>lunes</v>
      </c>
      <c r="B34" s="34">
        <v>46013</v>
      </c>
      <c r="C34" s="35" t="str">
        <f t="shared" si="1"/>
        <v>diciembre</v>
      </c>
      <c r="D34" s="35" t="s">
        <v>12</v>
      </c>
      <c r="E34" s="35">
        <v>4</v>
      </c>
      <c r="F34" s="35" t="s">
        <v>21</v>
      </c>
      <c r="G34" s="29" t="s">
        <v>22</v>
      </c>
      <c r="H34" s="29" t="s">
        <v>11</v>
      </c>
      <c r="I34" s="46"/>
    </row>
    <row r="35" spans="1:9" x14ac:dyDescent="0.2">
      <c r="A35" s="33" t="str">
        <f t="shared" si="0"/>
        <v>lunes</v>
      </c>
      <c r="B35" s="34">
        <v>46027</v>
      </c>
      <c r="C35" s="35" t="str">
        <f t="shared" si="1"/>
        <v>enero</v>
      </c>
      <c r="D35" s="35" t="s">
        <v>12</v>
      </c>
      <c r="E35" s="35">
        <v>4</v>
      </c>
      <c r="F35" s="35" t="s">
        <v>21</v>
      </c>
      <c r="G35" s="29" t="s">
        <v>22</v>
      </c>
      <c r="H35" s="29" t="s">
        <v>11</v>
      </c>
      <c r="I35" s="46"/>
    </row>
    <row r="36" spans="1:9" x14ac:dyDescent="0.2">
      <c r="A36" s="33" t="str">
        <f t="shared" si="0"/>
        <v>lunes</v>
      </c>
      <c r="B36" s="34">
        <v>46034</v>
      </c>
      <c r="C36" s="35" t="str">
        <f t="shared" si="1"/>
        <v>enero</v>
      </c>
      <c r="D36" s="35" t="s">
        <v>12</v>
      </c>
      <c r="E36" s="35">
        <v>4</v>
      </c>
      <c r="F36" s="35" t="s">
        <v>21</v>
      </c>
      <c r="G36" s="29" t="s">
        <v>22</v>
      </c>
      <c r="H36" s="29" t="s">
        <v>11</v>
      </c>
      <c r="I36" s="46"/>
    </row>
    <row r="37" spans="1:9" x14ac:dyDescent="0.2">
      <c r="A37" s="33" t="str">
        <f t="shared" si="0"/>
        <v>lunes</v>
      </c>
      <c r="B37" s="34">
        <v>46041</v>
      </c>
      <c r="C37" s="35" t="str">
        <f t="shared" si="1"/>
        <v>enero</v>
      </c>
      <c r="D37" s="35" t="s">
        <v>12</v>
      </c>
      <c r="E37" s="35">
        <v>4</v>
      </c>
      <c r="F37" s="35" t="s">
        <v>21</v>
      </c>
      <c r="G37" s="29" t="s">
        <v>22</v>
      </c>
      <c r="H37" s="29" t="s">
        <v>11</v>
      </c>
      <c r="I37" s="46"/>
    </row>
    <row r="38" spans="1:9" x14ac:dyDescent="0.2">
      <c r="A38" s="33" t="str">
        <f t="shared" si="0"/>
        <v>lunes</v>
      </c>
      <c r="B38" s="34">
        <v>46048</v>
      </c>
      <c r="C38" s="35" t="str">
        <f t="shared" si="1"/>
        <v>enero</v>
      </c>
      <c r="D38" s="35" t="s">
        <v>12</v>
      </c>
      <c r="E38" s="35">
        <v>4</v>
      </c>
      <c r="F38" s="35" t="s">
        <v>21</v>
      </c>
      <c r="G38" s="32" t="s">
        <v>52</v>
      </c>
      <c r="H38" s="29" t="s">
        <v>11</v>
      </c>
      <c r="I38" s="46"/>
    </row>
    <row r="39" spans="1:9" x14ac:dyDescent="0.2">
      <c r="A39" s="33" t="str">
        <f t="shared" si="0"/>
        <v>lunes</v>
      </c>
      <c r="B39" s="34">
        <v>46083</v>
      </c>
      <c r="C39" s="35" t="str">
        <f t="shared" si="1"/>
        <v>marzo</v>
      </c>
      <c r="D39" s="35" t="s">
        <v>12</v>
      </c>
      <c r="E39" s="35">
        <v>4</v>
      </c>
      <c r="F39" s="35" t="s">
        <v>21</v>
      </c>
      <c r="G39" s="29" t="s">
        <v>23</v>
      </c>
      <c r="H39" s="29" t="s">
        <v>11</v>
      </c>
      <c r="I39" s="46"/>
    </row>
    <row r="40" spans="1:9" x14ac:dyDescent="0.2">
      <c r="A40" s="33" t="str">
        <f t="shared" si="0"/>
        <v>lunes</v>
      </c>
      <c r="B40" s="34">
        <v>46090</v>
      </c>
      <c r="C40" s="35" t="str">
        <f t="shared" si="1"/>
        <v>marzo</v>
      </c>
      <c r="D40" s="35" t="s">
        <v>12</v>
      </c>
      <c r="E40" s="35">
        <v>4</v>
      </c>
      <c r="F40" s="35" t="s">
        <v>21</v>
      </c>
      <c r="G40" s="29" t="s">
        <v>23</v>
      </c>
      <c r="H40" s="29" t="s">
        <v>11</v>
      </c>
      <c r="I40" s="46"/>
    </row>
    <row r="41" spans="1:9" x14ac:dyDescent="0.2">
      <c r="A41" s="33" t="str">
        <f t="shared" si="0"/>
        <v>lunes</v>
      </c>
      <c r="B41" s="34">
        <v>46097</v>
      </c>
      <c r="C41" s="35" t="str">
        <f t="shared" si="1"/>
        <v>marzo</v>
      </c>
      <c r="D41" s="35" t="s">
        <v>12</v>
      </c>
      <c r="E41" s="35">
        <v>4</v>
      </c>
      <c r="F41" s="35" t="s">
        <v>21</v>
      </c>
      <c r="G41" s="29" t="s">
        <v>23</v>
      </c>
      <c r="H41" s="29" t="s">
        <v>11</v>
      </c>
      <c r="I41" s="46"/>
    </row>
    <row r="42" spans="1:9" x14ac:dyDescent="0.2">
      <c r="A42" s="33" t="str">
        <f t="shared" si="0"/>
        <v>lunes</v>
      </c>
      <c r="B42" s="34">
        <v>46104</v>
      </c>
      <c r="C42" s="35" t="str">
        <f t="shared" si="1"/>
        <v>marzo</v>
      </c>
      <c r="D42" s="35" t="s">
        <v>12</v>
      </c>
      <c r="E42" s="35">
        <v>4</v>
      </c>
      <c r="F42" s="35" t="s">
        <v>21</v>
      </c>
      <c r="G42" s="29" t="s">
        <v>23</v>
      </c>
      <c r="H42" s="29" t="s">
        <v>11</v>
      </c>
      <c r="I42" s="46"/>
    </row>
    <row r="43" spans="1:9" x14ac:dyDescent="0.2">
      <c r="A43" s="33" t="str">
        <f t="shared" si="0"/>
        <v>lunes</v>
      </c>
      <c r="B43" s="34">
        <v>46111</v>
      </c>
      <c r="C43" s="35" t="str">
        <f t="shared" si="1"/>
        <v>marzo</v>
      </c>
      <c r="D43" s="35" t="s">
        <v>12</v>
      </c>
      <c r="E43" s="35">
        <v>4</v>
      </c>
      <c r="F43" s="35" t="s">
        <v>21</v>
      </c>
      <c r="G43" s="29" t="s">
        <v>23</v>
      </c>
      <c r="H43" s="29" t="s">
        <v>11</v>
      </c>
      <c r="I43" s="46"/>
    </row>
    <row r="44" spans="1:9" x14ac:dyDescent="0.2">
      <c r="A44" s="33" t="str">
        <f t="shared" si="0"/>
        <v>lunes</v>
      </c>
      <c r="B44" s="34">
        <v>46118</v>
      </c>
      <c r="C44" s="35" t="str">
        <f t="shared" si="1"/>
        <v>abril</v>
      </c>
      <c r="D44" s="35" t="s">
        <v>12</v>
      </c>
      <c r="E44" s="35">
        <v>4</v>
      </c>
      <c r="F44" s="35" t="s">
        <v>21</v>
      </c>
      <c r="G44" s="29" t="s">
        <v>23</v>
      </c>
      <c r="H44" s="29" t="s">
        <v>11</v>
      </c>
      <c r="I44" s="46"/>
    </row>
    <row r="45" spans="1:9" x14ac:dyDescent="0.2">
      <c r="A45" s="33" t="str">
        <f t="shared" si="0"/>
        <v>lunes</v>
      </c>
      <c r="B45" s="34">
        <v>46125</v>
      </c>
      <c r="C45" s="35" t="str">
        <f t="shared" si="1"/>
        <v>abril</v>
      </c>
      <c r="D45" s="35" t="s">
        <v>12</v>
      </c>
      <c r="E45" s="35">
        <v>4</v>
      </c>
      <c r="F45" s="35" t="s">
        <v>21</v>
      </c>
      <c r="G45" s="32" t="s">
        <v>52</v>
      </c>
      <c r="H45" s="29" t="s">
        <v>11</v>
      </c>
      <c r="I45" s="46"/>
    </row>
    <row r="46" spans="1:9" x14ac:dyDescent="0.2">
      <c r="A46" s="33" t="str">
        <f t="shared" si="0"/>
        <v>lunes</v>
      </c>
      <c r="B46" s="34">
        <v>46132</v>
      </c>
      <c r="C46" s="35" t="str">
        <f t="shared" si="1"/>
        <v>abril</v>
      </c>
      <c r="D46" s="35" t="s">
        <v>12</v>
      </c>
      <c r="E46" s="35">
        <v>4</v>
      </c>
      <c r="F46" s="35" t="s">
        <v>21</v>
      </c>
      <c r="G46" s="29" t="s">
        <v>24</v>
      </c>
      <c r="H46" s="29" t="s">
        <v>11</v>
      </c>
      <c r="I46" s="46"/>
    </row>
    <row r="47" spans="1:9" x14ac:dyDescent="0.2">
      <c r="A47" s="33" t="str">
        <f t="shared" si="0"/>
        <v>lunes</v>
      </c>
      <c r="B47" s="34">
        <v>46139</v>
      </c>
      <c r="C47" s="35" t="str">
        <f t="shared" si="1"/>
        <v>abril</v>
      </c>
      <c r="D47" s="35" t="s">
        <v>12</v>
      </c>
      <c r="E47" s="35">
        <v>4</v>
      </c>
      <c r="F47" s="35" t="s">
        <v>21</v>
      </c>
      <c r="G47" s="29" t="s">
        <v>24</v>
      </c>
      <c r="H47" s="29" t="s">
        <v>11</v>
      </c>
      <c r="I47" s="46"/>
    </row>
    <row r="48" spans="1:9" x14ac:dyDescent="0.2">
      <c r="A48" s="33" t="str">
        <f t="shared" si="0"/>
        <v>lunes</v>
      </c>
      <c r="B48" s="34">
        <v>46146</v>
      </c>
      <c r="C48" s="35" t="str">
        <f t="shared" si="1"/>
        <v>mayo</v>
      </c>
      <c r="D48" s="35" t="s">
        <v>12</v>
      </c>
      <c r="E48" s="35">
        <v>4</v>
      </c>
      <c r="F48" s="35" t="s">
        <v>21</v>
      </c>
      <c r="G48" s="29" t="s">
        <v>24</v>
      </c>
      <c r="H48" s="29" t="s">
        <v>11</v>
      </c>
      <c r="I48" s="46"/>
    </row>
    <row r="49" spans="1:9" x14ac:dyDescent="0.2">
      <c r="A49" s="33" t="str">
        <f t="shared" si="0"/>
        <v>lunes</v>
      </c>
      <c r="B49" s="34">
        <v>46153</v>
      </c>
      <c r="C49" s="35" t="str">
        <f t="shared" si="1"/>
        <v>mayo</v>
      </c>
      <c r="D49" s="35" t="s">
        <v>12</v>
      </c>
      <c r="E49" s="35">
        <v>4</v>
      </c>
      <c r="F49" s="35" t="s">
        <v>21</v>
      </c>
      <c r="G49" s="29" t="s">
        <v>24</v>
      </c>
      <c r="H49" s="29" t="s">
        <v>11</v>
      </c>
      <c r="I49" s="46"/>
    </row>
    <row r="50" spans="1:9" x14ac:dyDescent="0.2">
      <c r="A50" s="33" t="str">
        <f t="shared" si="0"/>
        <v>lunes</v>
      </c>
      <c r="B50" s="34">
        <v>46160</v>
      </c>
      <c r="C50" s="35" t="str">
        <f t="shared" si="1"/>
        <v>mayo</v>
      </c>
      <c r="D50" s="35" t="s">
        <v>12</v>
      </c>
      <c r="E50" s="35">
        <v>4</v>
      </c>
      <c r="F50" s="35" t="s">
        <v>21</v>
      </c>
      <c r="G50" s="29" t="s">
        <v>24</v>
      </c>
      <c r="H50" s="29" t="s">
        <v>11</v>
      </c>
      <c r="I50" s="46"/>
    </row>
    <row r="51" spans="1:9" x14ac:dyDescent="0.2">
      <c r="A51" s="33" t="str">
        <f t="shared" si="0"/>
        <v>lunes</v>
      </c>
      <c r="B51" s="34">
        <v>46167</v>
      </c>
      <c r="C51" s="35" t="str">
        <f t="shared" si="1"/>
        <v>mayo</v>
      </c>
      <c r="D51" s="35" t="s">
        <v>12</v>
      </c>
      <c r="E51" s="35">
        <v>4</v>
      </c>
      <c r="F51" s="35" t="s">
        <v>21</v>
      </c>
      <c r="G51" s="29" t="s">
        <v>24</v>
      </c>
      <c r="H51" s="29" t="s">
        <v>11</v>
      </c>
      <c r="I51" s="46"/>
    </row>
    <row r="52" spans="1:9" x14ac:dyDescent="0.2">
      <c r="A52" s="33" t="str">
        <f t="shared" si="0"/>
        <v>lunes</v>
      </c>
      <c r="B52" s="34">
        <v>46174</v>
      </c>
      <c r="C52" s="35" t="str">
        <f t="shared" si="1"/>
        <v>junio</v>
      </c>
      <c r="D52" s="35" t="s">
        <v>12</v>
      </c>
      <c r="E52" s="35">
        <v>4</v>
      </c>
      <c r="F52" s="35" t="s">
        <v>21</v>
      </c>
      <c r="G52" s="32" t="s">
        <v>52</v>
      </c>
      <c r="H52" s="29" t="s">
        <v>11</v>
      </c>
      <c r="I52" s="46"/>
    </row>
    <row r="53" spans="1:9" x14ac:dyDescent="0.2">
      <c r="A53" s="33" t="str">
        <f t="shared" si="0"/>
        <v>lunes</v>
      </c>
      <c r="B53" s="34">
        <v>46181</v>
      </c>
      <c r="C53" s="35" t="str">
        <f t="shared" si="1"/>
        <v>junio</v>
      </c>
      <c r="D53" s="35" t="s">
        <v>12</v>
      </c>
      <c r="E53" s="35">
        <v>4</v>
      </c>
      <c r="F53" s="35" t="s">
        <v>21</v>
      </c>
      <c r="G53" s="29" t="s">
        <v>25</v>
      </c>
      <c r="H53" s="29" t="s">
        <v>11</v>
      </c>
      <c r="I53" s="46"/>
    </row>
    <row r="54" spans="1:9" x14ac:dyDescent="0.2">
      <c r="A54" s="33" t="str">
        <f t="shared" si="0"/>
        <v>lunes</v>
      </c>
      <c r="B54" s="34">
        <v>46188</v>
      </c>
      <c r="C54" s="35" t="str">
        <f t="shared" si="1"/>
        <v>junio</v>
      </c>
      <c r="D54" s="35" t="s">
        <v>12</v>
      </c>
      <c r="E54" s="35">
        <v>4</v>
      </c>
      <c r="F54" s="35" t="s">
        <v>21</v>
      </c>
      <c r="G54" s="29" t="s">
        <v>25</v>
      </c>
      <c r="H54" s="29" t="s">
        <v>11</v>
      </c>
      <c r="I54" s="46"/>
    </row>
    <row r="55" spans="1:9" x14ac:dyDescent="0.2">
      <c r="A55" s="33" t="str">
        <f t="shared" si="0"/>
        <v>lunes</v>
      </c>
      <c r="B55" s="34">
        <v>46195</v>
      </c>
      <c r="C55" s="35" t="str">
        <f t="shared" si="1"/>
        <v>junio</v>
      </c>
      <c r="D55" s="35" t="s">
        <v>12</v>
      </c>
      <c r="E55" s="35">
        <v>4</v>
      </c>
      <c r="F55" s="35" t="s">
        <v>21</v>
      </c>
      <c r="G55" s="29" t="s">
        <v>25</v>
      </c>
      <c r="H55" s="29" t="s">
        <v>11</v>
      </c>
      <c r="I55" s="46"/>
    </row>
    <row r="56" spans="1:9" x14ac:dyDescent="0.2">
      <c r="A56" s="33" t="str">
        <f t="shared" si="0"/>
        <v>lunes</v>
      </c>
      <c r="B56" s="34">
        <v>46209</v>
      </c>
      <c r="C56" s="35" t="str">
        <f t="shared" si="1"/>
        <v>julio</v>
      </c>
      <c r="D56" s="35" t="s">
        <v>12</v>
      </c>
      <c r="E56" s="35">
        <v>4</v>
      </c>
      <c r="F56" s="35" t="s">
        <v>21</v>
      </c>
      <c r="G56" s="29" t="s">
        <v>25</v>
      </c>
      <c r="H56" s="29" t="s">
        <v>11</v>
      </c>
      <c r="I56" s="46"/>
    </row>
    <row r="57" spans="1:9" x14ac:dyDescent="0.2">
      <c r="A57" s="33" t="str">
        <f t="shared" si="0"/>
        <v>lunes</v>
      </c>
      <c r="B57" s="34">
        <v>46216</v>
      </c>
      <c r="C57" s="35" t="str">
        <f t="shared" si="1"/>
        <v>julio</v>
      </c>
      <c r="D57" s="35" t="s">
        <v>12</v>
      </c>
      <c r="E57" s="35">
        <v>4</v>
      </c>
      <c r="F57" s="35" t="s">
        <v>21</v>
      </c>
      <c r="G57" s="29" t="s">
        <v>25</v>
      </c>
      <c r="H57" s="29" t="s">
        <v>11</v>
      </c>
      <c r="I57" s="46"/>
    </row>
    <row r="58" spans="1:9" x14ac:dyDescent="0.2">
      <c r="A58" s="33" t="str">
        <f t="shared" si="0"/>
        <v>lunes</v>
      </c>
      <c r="B58" s="34">
        <v>46223</v>
      </c>
      <c r="C58" s="35" t="str">
        <f t="shared" si="1"/>
        <v>julio</v>
      </c>
      <c r="D58" s="35" t="s">
        <v>12</v>
      </c>
      <c r="E58" s="35">
        <v>4</v>
      </c>
      <c r="F58" s="35" t="s">
        <v>21</v>
      </c>
      <c r="G58" s="29" t="s">
        <v>25</v>
      </c>
      <c r="H58" s="29" t="s">
        <v>11</v>
      </c>
      <c r="I58" s="46"/>
    </row>
    <row r="59" spans="1:9" x14ac:dyDescent="0.2">
      <c r="A59" s="33" t="str">
        <f t="shared" si="0"/>
        <v>lunes</v>
      </c>
      <c r="B59" s="34">
        <v>46230</v>
      </c>
      <c r="C59" s="35" t="str">
        <f t="shared" si="1"/>
        <v>julio</v>
      </c>
      <c r="D59" s="35" t="s">
        <v>12</v>
      </c>
      <c r="E59" s="35">
        <v>4</v>
      </c>
      <c r="F59" s="35" t="s">
        <v>21</v>
      </c>
      <c r="G59" s="32" t="s">
        <v>52</v>
      </c>
      <c r="H59" s="29" t="s">
        <v>11</v>
      </c>
      <c r="I59" s="46"/>
    </row>
    <row r="60" spans="1:9" x14ac:dyDescent="0.2">
      <c r="A60" s="33" t="str">
        <f t="shared" si="0"/>
        <v>lunes</v>
      </c>
      <c r="B60" s="34">
        <v>46237</v>
      </c>
      <c r="C60" s="35" t="str">
        <f t="shared" si="1"/>
        <v>agosto</v>
      </c>
      <c r="D60" s="35" t="s">
        <v>12</v>
      </c>
      <c r="E60" s="35">
        <v>4</v>
      </c>
      <c r="F60" s="35" t="s">
        <v>21</v>
      </c>
      <c r="G60" s="29" t="s">
        <v>26</v>
      </c>
      <c r="H60" s="29" t="s">
        <v>11</v>
      </c>
      <c r="I60" s="46"/>
    </row>
    <row r="61" spans="1:9" x14ac:dyDescent="0.2">
      <c r="A61" s="33" t="str">
        <f t="shared" si="0"/>
        <v>lunes</v>
      </c>
      <c r="B61" s="34">
        <v>46244</v>
      </c>
      <c r="C61" s="35" t="str">
        <f t="shared" si="1"/>
        <v>agosto</v>
      </c>
      <c r="D61" s="35" t="s">
        <v>12</v>
      </c>
      <c r="E61" s="35">
        <v>4</v>
      </c>
      <c r="F61" s="35" t="s">
        <v>21</v>
      </c>
      <c r="G61" s="29" t="s">
        <v>26</v>
      </c>
      <c r="H61" s="29" t="s">
        <v>11</v>
      </c>
      <c r="I61" s="46"/>
    </row>
    <row r="62" spans="1:9" x14ac:dyDescent="0.2">
      <c r="A62" s="33" t="str">
        <f t="shared" si="0"/>
        <v>lunes</v>
      </c>
      <c r="B62" s="34">
        <v>46251</v>
      </c>
      <c r="C62" s="35" t="str">
        <f t="shared" si="1"/>
        <v>agosto</v>
      </c>
      <c r="D62" s="35" t="s">
        <v>12</v>
      </c>
      <c r="E62" s="35">
        <v>4</v>
      </c>
      <c r="F62" s="35" t="s">
        <v>21</v>
      </c>
      <c r="G62" s="29" t="s">
        <v>26</v>
      </c>
      <c r="H62" s="29" t="s">
        <v>11</v>
      </c>
      <c r="I62" s="46"/>
    </row>
    <row r="63" spans="1:9" x14ac:dyDescent="0.2">
      <c r="A63" s="33" t="str">
        <f t="shared" si="0"/>
        <v>lunes</v>
      </c>
      <c r="B63" s="34">
        <v>46258</v>
      </c>
      <c r="C63" s="35" t="str">
        <f t="shared" si="1"/>
        <v>agosto</v>
      </c>
      <c r="D63" s="35" t="s">
        <v>12</v>
      </c>
      <c r="E63" s="35">
        <v>4</v>
      </c>
      <c r="F63" s="35" t="s">
        <v>21</v>
      </c>
      <c r="G63" s="29" t="s">
        <v>26</v>
      </c>
      <c r="H63" s="29" t="s">
        <v>11</v>
      </c>
      <c r="I63" s="46"/>
    </row>
    <row r="64" spans="1:9" x14ac:dyDescent="0.2">
      <c r="A64" s="33" t="str">
        <f t="shared" si="0"/>
        <v>lunes</v>
      </c>
      <c r="B64" s="34">
        <v>46265</v>
      </c>
      <c r="C64" s="35" t="str">
        <f t="shared" si="1"/>
        <v>agosto</v>
      </c>
      <c r="D64" s="35" t="s">
        <v>12</v>
      </c>
      <c r="E64" s="35">
        <v>4</v>
      </c>
      <c r="F64" s="35" t="s">
        <v>21</v>
      </c>
      <c r="G64" s="29" t="s">
        <v>26</v>
      </c>
      <c r="H64" s="29" t="s">
        <v>11</v>
      </c>
      <c r="I64" s="46"/>
    </row>
    <row r="65" spans="1:9" x14ac:dyDescent="0.2">
      <c r="A65" s="33" t="str">
        <f t="shared" si="0"/>
        <v>lunes</v>
      </c>
      <c r="B65" s="34">
        <v>46272</v>
      </c>
      <c r="C65" s="35" t="str">
        <f t="shared" si="1"/>
        <v>septiembre</v>
      </c>
      <c r="D65" s="35" t="s">
        <v>12</v>
      </c>
      <c r="E65" s="35">
        <v>4</v>
      </c>
      <c r="F65" s="35" t="s">
        <v>21</v>
      </c>
      <c r="G65" s="29" t="s">
        <v>26</v>
      </c>
      <c r="H65" s="29" t="s">
        <v>11</v>
      </c>
      <c r="I65" s="46"/>
    </row>
    <row r="66" spans="1:9" x14ac:dyDescent="0.2">
      <c r="A66" s="33" t="str">
        <f t="shared" si="0"/>
        <v>lunes</v>
      </c>
      <c r="B66" s="34">
        <v>46279</v>
      </c>
      <c r="C66" s="35" t="str">
        <f t="shared" si="1"/>
        <v>septiembre</v>
      </c>
      <c r="D66" s="35" t="s">
        <v>12</v>
      </c>
      <c r="E66" s="35">
        <v>4</v>
      </c>
      <c r="F66" s="35" t="s">
        <v>21</v>
      </c>
      <c r="G66" s="32" t="s">
        <v>52</v>
      </c>
      <c r="H66" s="29" t="s">
        <v>11</v>
      </c>
      <c r="I66" s="46"/>
    </row>
    <row r="67" spans="1:9" x14ac:dyDescent="0.2">
      <c r="A67" s="33" t="str">
        <f t="shared" ref="A67:A76" si="2">TEXT(B67,"dddd")</f>
        <v>lunes</v>
      </c>
      <c r="B67" s="34">
        <v>46286</v>
      </c>
      <c r="C67" s="35" t="str">
        <f t="shared" ref="C67:C76" si="3">TEXT(B67,"mmmm")</f>
        <v>septiembre</v>
      </c>
      <c r="D67" s="35" t="s">
        <v>12</v>
      </c>
      <c r="E67" s="35">
        <v>4</v>
      </c>
      <c r="F67" s="35" t="s">
        <v>21</v>
      </c>
      <c r="G67" s="29" t="s">
        <v>27</v>
      </c>
      <c r="H67" s="29" t="s">
        <v>11</v>
      </c>
      <c r="I67" s="46"/>
    </row>
    <row r="68" spans="1:9" x14ac:dyDescent="0.2">
      <c r="A68" s="33" t="str">
        <f t="shared" si="2"/>
        <v>lunes</v>
      </c>
      <c r="B68" s="34">
        <v>46293</v>
      </c>
      <c r="C68" s="35" t="str">
        <f t="shared" si="3"/>
        <v>septiembre</v>
      </c>
      <c r="D68" s="35" t="s">
        <v>12</v>
      </c>
      <c r="E68" s="35">
        <v>4</v>
      </c>
      <c r="F68" s="35" t="s">
        <v>21</v>
      </c>
      <c r="G68" s="29" t="s">
        <v>27</v>
      </c>
      <c r="H68" s="29" t="s">
        <v>11</v>
      </c>
      <c r="I68" s="46"/>
    </row>
    <row r="69" spans="1:9" x14ac:dyDescent="0.2">
      <c r="A69" s="33" t="str">
        <f t="shared" si="2"/>
        <v>lunes</v>
      </c>
      <c r="B69" s="34">
        <v>46300</v>
      </c>
      <c r="C69" s="35" t="str">
        <f t="shared" si="3"/>
        <v>octubre</v>
      </c>
      <c r="D69" s="35" t="s">
        <v>12</v>
      </c>
      <c r="E69" s="35">
        <v>4</v>
      </c>
      <c r="F69" s="35" t="s">
        <v>21</v>
      </c>
      <c r="G69" s="29" t="s">
        <v>27</v>
      </c>
      <c r="H69" s="29" t="s">
        <v>11</v>
      </c>
      <c r="I69" s="46"/>
    </row>
    <row r="70" spans="1:9" x14ac:dyDescent="0.2">
      <c r="A70" s="33" t="str">
        <f t="shared" si="2"/>
        <v>lunes</v>
      </c>
      <c r="B70" s="34">
        <v>46314</v>
      </c>
      <c r="C70" s="35" t="str">
        <f t="shared" si="3"/>
        <v>octubre</v>
      </c>
      <c r="D70" s="35" t="s">
        <v>12</v>
      </c>
      <c r="E70" s="35">
        <v>4</v>
      </c>
      <c r="F70" s="35" t="s">
        <v>21</v>
      </c>
      <c r="G70" s="29" t="s">
        <v>27</v>
      </c>
      <c r="H70" s="29" t="s">
        <v>11</v>
      </c>
      <c r="I70" s="46"/>
    </row>
    <row r="71" spans="1:9" x14ac:dyDescent="0.2">
      <c r="A71" s="33" t="str">
        <f t="shared" si="2"/>
        <v>lunes</v>
      </c>
      <c r="B71" s="34">
        <v>46321</v>
      </c>
      <c r="C71" s="35" t="str">
        <f t="shared" si="3"/>
        <v>octubre</v>
      </c>
      <c r="D71" s="35" t="s">
        <v>12</v>
      </c>
      <c r="E71" s="35">
        <v>4</v>
      </c>
      <c r="F71" s="35" t="s">
        <v>21</v>
      </c>
      <c r="G71" s="29" t="s">
        <v>27</v>
      </c>
      <c r="H71" s="29" t="s">
        <v>11</v>
      </c>
      <c r="I71" s="46"/>
    </row>
    <row r="72" spans="1:9" x14ac:dyDescent="0.2">
      <c r="A72" s="33" t="str">
        <f t="shared" si="2"/>
        <v>lunes</v>
      </c>
      <c r="B72" s="34">
        <v>46328</v>
      </c>
      <c r="C72" s="35" t="str">
        <f t="shared" si="3"/>
        <v>noviembre</v>
      </c>
      <c r="D72" s="35" t="s">
        <v>12</v>
      </c>
      <c r="E72" s="35">
        <v>4</v>
      </c>
      <c r="F72" s="35" t="s">
        <v>21</v>
      </c>
      <c r="G72" s="29" t="s">
        <v>27</v>
      </c>
      <c r="H72" s="29" t="s">
        <v>11</v>
      </c>
      <c r="I72" s="46"/>
    </row>
    <row r="73" spans="1:9" x14ac:dyDescent="0.2">
      <c r="A73" s="33" t="str">
        <f t="shared" si="2"/>
        <v>lunes</v>
      </c>
      <c r="B73" s="34">
        <v>46335</v>
      </c>
      <c r="C73" s="35" t="str">
        <f t="shared" si="3"/>
        <v>noviembre</v>
      </c>
      <c r="D73" s="35" t="s">
        <v>12</v>
      </c>
      <c r="E73" s="35">
        <v>4</v>
      </c>
      <c r="F73" s="35" t="s">
        <v>21</v>
      </c>
      <c r="G73" s="32" t="s">
        <v>52</v>
      </c>
      <c r="H73" s="29" t="s">
        <v>11</v>
      </c>
      <c r="I73" s="46"/>
    </row>
    <row r="74" spans="1:9" x14ac:dyDescent="0.2">
      <c r="A74" s="33" t="str">
        <f t="shared" si="2"/>
        <v>lunes</v>
      </c>
      <c r="B74" s="34">
        <v>46342</v>
      </c>
      <c r="C74" s="35" t="str">
        <f t="shared" si="3"/>
        <v>noviembre</v>
      </c>
      <c r="D74" s="35" t="s">
        <v>12</v>
      </c>
      <c r="E74" s="35">
        <v>4</v>
      </c>
      <c r="F74" s="35" t="s">
        <v>21</v>
      </c>
      <c r="G74" s="32" t="s">
        <v>52</v>
      </c>
      <c r="H74" s="29" t="s">
        <v>11</v>
      </c>
      <c r="I74" s="46"/>
    </row>
    <row r="75" spans="1:9" x14ac:dyDescent="0.2">
      <c r="A75" s="33" t="str">
        <f t="shared" si="2"/>
        <v>lunes</v>
      </c>
      <c r="B75" s="34">
        <v>46363</v>
      </c>
      <c r="C75" s="33" t="str">
        <f t="shared" si="3"/>
        <v>diciembre</v>
      </c>
      <c r="D75" s="33" t="s">
        <v>51</v>
      </c>
      <c r="E75" s="33">
        <v>6</v>
      </c>
      <c r="F75" s="33"/>
      <c r="G75" s="29" t="s">
        <v>53</v>
      </c>
      <c r="H75" s="29" t="s">
        <v>50</v>
      </c>
      <c r="I75" s="46"/>
    </row>
    <row r="76" spans="1:9" x14ac:dyDescent="0.2">
      <c r="A76" s="33" t="str">
        <f t="shared" si="2"/>
        <v>lunes</v>
      </c>
      <c r="B76" s="34">
        <v>46363</v>
      </c>
      <c r="C76" s="33" t="str">
        <f t="shared" si="3"/>
        <v>diciembre</v>
      </c>
      <c r="D76" s="33" t="s">
        <v>51</v>
      </c>
      <c r="E76" s="33">
        <v>6</v>
      </c>
      <c r="F76" s="33"/>
      <c r="G76" s="29" t="s">
        <v>53</v>
      </c>
      <c r="H76" s="29" t="s">
        <v>50</v>
      </c>
      <c r="I76" s="46"/>
    </row>
    <row r="77" spans="1:9" x14ac:dyDescent="0.2">
      <c r="A77" s="33"/>
      <c r="B77" s="33"/>
      <c r="C77" s="33"/>
      <c r="D77" s="33"/>
      <c r="E77" s="33"/>
      <c r="F77" s="33"/>
      <c r="G77" s="29"/>
      <c r="H77" s="46"/>
      <c r="I77" s="46"/>
    </row>
  </sheetData>
  <autoFilter ref="A1:H7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3721-5802-4073-9DCC-E463859C3257}">
  <dimension ref="A1"/>
  <sheetViews>
    <sheetView workbookViewId="0">
      <selection activeCell="D6" sqref="D6"/>
    </sheetView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865A-8D1B-4703-A739-BD4836F50CB4}">
  <dimension ref="A1:O62"/>
  <sheetViews>
    <sheetView workbookViewId="0">
      <selection sqref="A1:O62"/>
    </sheetView>
  </sheetViews>
  <sheetFormatPr baseColWidth="10" defaultColWidth="11.5" defaultRowHeight="15" x14ac:dyDescent="0.2"/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0" thickBot="1" x14ac:dyDescent="0.3">
      <c r="A3" s="2" t="s">
        <v>28</v>
      </c>
      <c r="B3" s="47" t="s">
        <v>29</v>
      </c>
      <c r="C3" s="47"/>
      <c r="D3" s="47"/>
      <c r="E3" s="2" t="s">
        <v>30</v>
      </c>
      <c r="F3" s="47">
        <v>2025</v>
      </c>
      <c r="G3" s="47"/>
      <c r="H3" s="1"/>
      <c r="I3" s="2" t="s">
        <v>28</v>
      </c>
      <c r="J3" s="47" t="s">
        <v>31</v>
      </c>
      <c r="K3" s="47"/>
      <c r="L3" s="47"/>
      <c r="M3" s="2" t="s">
        <v>30</v>
      </c>
      <c r="N3" s="47">
        <f>F3</f>
        <v>2025</v>
      </c>
      <c r="O3" s="47"/>
    </row>
    <row r="4" spans="1:15" ht="21" x14ac:dyDescent="0.2">
      <c r="A4" s="48" t="s">
        <v>32</v>
      </c>
      <c r="B4" s="48"/>
      <c r="C4" s="48"/>
      <c r="D4" s="48"/>
      <c r="E4" s="48"/>
      <c r="F4" s="48"/>
      <c r="G4" s="48"/>
      <c r="H4" s="1"/>
      <c r="I4" s="48" t="s">
        <v>32</v>
      </c>
      <c r="J4" s="48"/>
      <c r="K4" s="48"/>
      <c r="L4" s="48"/>
      <c r="M4" s="48"/>
      <c r="N4" s="48"/>
      <c r="O4" s="48"/>
    </row>
    <row r="5" spans="1:15" ht="16" thickBot="1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1"/>
      <c r="I5" s="3" t="s">
        <v>33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39</v>
      </c>
    </row>
    <row r="6" spans="1:15" x14ac:dyDescent="0.2">
      <c r="A6" s="4" cm="1">
        <f t="array" ref="A6:G11">_xlfn.SEQUENCE(6,7)+DATE(F3,MONTH(B3&amp;1),1)-WEEKDAY(DATE(F3,MONTH(B3&amp;1),1),2)</f>
        <v>45656</v>
      </c>
      <c r="B6" s="5">
        <v>45657</v>
      </c>
      <c r="C6" s="6">
        <v>45658</v>
      </c>
      <c r="D6" s="5">
        <v>45659</v>
      </c>
      <c r="E6" s="5">
        <v>45660</v>
      </c>
      <c r="F6" s="5">
        <v>45661</v>
      </c>
      <c r="G6" s="7">
        <v>45662</v>
      </c>
      <c r="H6" s="1"/>
      <c r="I6" s="14" cm="1">
        <f t="array" ref="I6:O11">_xlfn.SEQUENCE(6,7)+DATE(N3,MONTH(J3&amp;1),1)-WEEKDAY(DATE(N3,MONTH(J3&amp;1),1),2)</f>
        <v>45684</v>
      </c>
      <c r="J6" s="15">
        <v>45685</v>
      </c>
      <c r="K6" s="15">
        <v>45686</v>
      </c>
      <c r="L6" s="15">
        <v>45687</v>
      </c>
      <c r="M6" s="15">
        <v>45688</v>
      </c>
      <c r="N6" s="15">
        <v>45689</v>
      </c>
      <c r="O6" s="16">
        <v>45690</v>
      </c>
    </row>
    <row r="7" spans="1:15" x14ac:dyDescent="0.2">
      <c r="A7" s="8">
        <v>45663</v>
      </c>
      <c r="B7" s="9">
        <v>45664</v>
      </c>
      <c r="C7" s="9">
        <v>45665</v>
      </c>
      <c r="D7" s="9">
        <v>45666</v>
      </c>
      <c r="E7" s="9">
        <v>45667</v>
      </c>
      <c r="F7" s="9">
        <v>45668</v>
      </c>
      <c r="G7" s="10">
        <v>45669</v>
      </c>
      <c r="H7" s="1"/>
      <c r="I7" s="17">
        <v>45691</v>
      </c>
      <c r="J7" s="18">
        <v>45692</v>
      </c>
      <c r="K7" s="18">
        <v>45693</v>
      </c>
      <c r="L7" s="18">
        <v>45694</v>
      </c>
      <c r="M7" s="18">
        <v>45695</v>
      </c>
      <c r="N7" s="18">
        <v>45696</v>
      </c>
      <c r="O7" s="19">
        <v>45697</v>
      </c>
    </row>
    <row r="8" spans="1:15" x14ac:dyDescent="0.2">
      <c r="A8" s="8">
        <v>45670</v>
      </c>
      <c r="B8" s="9">
        <v>45671</v>
      </c>
      <c r="C8" s="9">
        <v>45672</v>
      </c>
      <c r="D8" s="9">
        <v>45673</v>
      </c>
      <c r="E8" s="9">
        <v>45674</v>
      </c>
      <c r="F8" s="9">
        <v>45675</v>
      </c>
      <c r="G8" s="10">
        <v>45676</v>
      </c>
      <c r="H8" s="1"/>
      <c r="I8" s="17">
        <v>45698</v>
      </c>
      <c r="J8" s="18">
        <v>45699</v>
      </c>
      <c r="K8" s="18">
        <v>45700</v>
      </c>
      <c r="L8" s="18">
        <v>45701</v>
      </c>
      <c r="M8" s="18">
        <v>45702</v>
      </c>
      <c r="N8" s="18">
        <v>45703</v>
      </c>
      <c r="O8" s="19">
        <v>45704</v>
      </c>
    </row>
    <row r="9" spans="1:15" x14ac:dyDescent="0.2">
      <c r="A9" s="8">
        <v>45677</v>
      </c>
      <c r="B9" s="9">
        <v>45678</v>
      </c>
      <c r="C9" s="9">
        <v>45679</v>
      </c>
      <c r="D9" s="9">
        <v>45680</v>
      </c>
      <c r="E9" s="9">
        <v>45681</v>
      </c>
      <c r="F9" s="9">
        <v>45682</v>
      </c>
      <c r="G9" s="10">
        <v>45683</v>
      </c>
      <c r="H9" s="1"/>
      <c r="I9" s="17">
        <v>45705</v>
      </c>
      <c r="J9" s="18">
        <v>45706</v>
      </c>
      <c r="K9" s="18">
        <v>45707</v>
      </c>
      <c r="L9" s="18">
        <v>45708</v>
      </c>
      <c r="M9" s="18">
        <v>45709</v>
      </c>
      <c r="N9" s="18">
        <v>45710</v>
      </c>
      <c r="O9" s="19">
        <v>45711</v>
      </c>
    </row>
    <row r="10" spans="1:15" x14ac:dyDescent="0.2">
      <c r="A10" s="8">
        <v>45684</v>
      </c>
      <c r="B10" s="9">
        <v>45685</v>
      </c>
      <c r="C10" s="9">
        <v>45686</v>
      </c>
      <c r="D10" s="9">
        <v>45687</v>
      </c>
      <c r="E10" s="9">
        <v>45688</v>
      </c>
      <c r="F10" s="9">
        <v>45689</v>
      </c>
      <c r="G10" s="10">
        <v>45690</v>
      </c>
      <c r="H10" s="1"/>
      <c r="I10" s="17">
        <v>45712</v>
      </c>
      <c r="J10" s="18">
        <v>45713</v>
      </c>
      <c r="K10" s="18">
        <v>45714</v>
      </c>
      <c r="L10" s="18">
        <v>45715</v>
      </c>
      <c r="M10" s="18">
        <v>45716</v>
      </c>
      <c r="N10" s="18">
        <v>45717</v>
      </c>
      <c r="O10" s="19">
        <v>45718</v>
      </c>
    </row>
    <row r="11" spans="1:15" ht="16" thickBot="1" x14ac:dyDescent="0.25">
      <c r="A11" s="11">
        <v>45691</v>
      </c>
      <c r="B11" s="12">
        <v>45692</v>
      </c>
      <c r="C11" s="12">
        <v>45693</v>
      </c>
      <c r="D11" s="12">
        <v>45694</v>
      </c>
      <c r="E11" s="12">
        <v>45695</v>
      </c>
      <c r="F11" s="12">
        <v>45696</v>
      </c>
      <c r="G11" s="13">
        <v>45697</v>
      </c>
      <c r="H11" s="1"/>
      <c r="I11" s="20">
        <v>45719</v>
      </c>
      <c r="J11" s="21">
        <v>45720</v>
      </c>
      <c r="K11" s="21">
        <v>45721</v>
      </c>
      <c r="L11" s="21">
        <v>45722</v>
      </c>
      <c r="M11" s="21">
        <v>45723</v>
      </c>
      <c r="N11" s="21">
        <v>45724</v>
      </c>
      <c r="O11" s="22">
        <v>45725</v>
      </c>
    </row>
    <row r="12" spans="1: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0" thickBot="1" x14ac:dyDescent="0.3">
      <c r="A13" s="2" t="s">
        <v>28</v>
      </c>
      <c r="B13" s="47" t="s">
        <v>40</v>
      </c>
      <c r="C13" s="47"/>
      <c r="D13" s="47"/>
      <c r="E13" s="2" t="s">
        <v>30</v>
      </c>
      <c r="F13" s="47">
        <f>F3</f>
        <v>2025</v>
      </c>
      <c r="G13" s="47"/>
      <c r="H13" s="1"/>
      <c r="I13" s="2" t="s">
        <v>28</v>
      </c>
      <c r="J13" s="47" t="s">
        <v>41</v>
      </c>
      <c r="K13" s="47"/>
      <c r="L13" s="47"/>
      <c r="M13" s="2" t="s">
        <v>30</v>
      </c>
      <c r="N13" s="47">
        <f>F13</f>
        <v>2025</v>
      </c>
      <c r="O13" s="47"/>
    </row>
    <row r="14" spans="1:15" ht="21" x14ac:dyDescent="0.2">
      <c r="A14" s="48" t="s">
        <v>32</v>
      </c>
      <c r="B14" s="48"/>
      <c r="C14" s="48"/>
      <c r="D14" s="48"/>
      <c r="E14" s="48"/>
      <c r="F14" s="48"/>
      <c r="G14" s="48"/>
      <c r="H14" s="1"/>
      <c r="I14" s="48" t="s">
        <v>32</v>
      </c>
      <c r="J14" s="48"/>
      <c r="K14" s="48"/>
      <c r="L14" s="48"/>
      <c r="M14" s="48"/>
      <c r="N14" s="48"/>
      <c r="O14" s="48"/>
    </row>
    <row r="15" spans="1:15" ht="16" thickBot="1" x14ac:dyDescent="0.25">
      <c r="A15" s="3" t="s">
        <v>33</v>
      </c>
      <c r="B15" s="3" t="s">
        <v>34</v>
      </c>
      <c r="C15" s="3" t="s">
        <v>35</v>
      </c>
      <c r="D15" s="3" t="s">
        <v>36</v>
      </c>
      <c r="E15" s="3" t="s">
        <v>37</v>
      </c>
      <c r="F15" s="3" t="s">
        <v>38</v>
      </c>
      <c r="G15" s="3" t="s">
        <v>39</v>
      </c>
      <c r="H15" s="1"/>
      <c r="I15" s="3" t="s">
        <v>33</v>
      </c>
      <c r="J15" s="3" t="s">
        <v>34</v>
      </c>
      <c r="K15" s="3" t="s">
        <v>35</v>
      </c>
      <c r="L15" s="3" t="s">
        <v>36</v>
      </c>
      <c r="M15" s="3" t="s">
        <v>37</v>
      </c>
      <c r="N15" s="3" t="s">
        <v>38</v>
      </c>
      <c r="O15" s="3" t="s">
        <v>39</v>
      </c>
    </row>
    <row r="16" spans="1:15" x14ac:dyDescent="0.2">
      <c r="A16" s="4" cm="1">
        <f t="array" ref="A16:G21">_xlfn.SEQUENCE(6,7)+DATE(F13,MONTH(B13&amp;1),1)-WEEKDAY(DATE(F13,MONTH(B13&amp;1),1),2)</f>
        <v>45712</v>
      </c>
      <c r="B16" s="5">
        <v>45713</v>
      </c>
      <c r="C16" s="5">
        <v>45714</v>
      </c>
      <c r="D16" s="5">
        <v>45715</v>
      </c>
      <c r="E16" s="5">
        <v>45716</v>
      </c>
      <c r="F16" s="5">
        <v>45717</v>
      </c>
      <c r="G16" s="7">
        <v>45718</v>
      </c>
      <c r="H16" s="1"/>
      <c r="I16" s="14" cm="1">
        <f t="array" ref="I16:O21">_xlfn.SEQUENCE(6,7)+DATE(N13,MONTH(J13&amp;1),1)-WEEKDAY(DATE(N13,MONTH(J13&amp;1),1),2)</f>
        <v>45747</v>
      </c>
      <c r="J16" s="15">
        <v>45748</v>
      </c>
      <c r="K16" s="15">
        <v>45749</v>
      </c>
      <c r="L16" s="15">
        <v>45750</v>
      </c>
      <c r="M16" s="15">
        <v>45751</v>
      </c>
      <c r="N16" s="15">
        <v>45752</v>
      </c>
      <c r="O16" s="16">
        <v>45753</v>
      </c>
    </row>
    <row r="17" spans="1:15" x14ac:dyDescent="0.2">
      <c r="A17" s="8">
        <v>45719</v>
      </c>
      <c r="B17" s="9">
        <v>45720</v>
      </c>
      <c r="C17" s="9">
        <v>45721</v>
      </c>
      <c r="D17" s="9">
        <v>45722</v>
      </c>
      <c r="E17" s="9">
        <v>45723</v>
      </c>
      <c r="F17" s="9">
        <v>45724</v>
      </c>
      <c r="G17" s="10">
        <v>45725</v>
      </c>
      <c r="H17" s="1"/>
      <c r="I17" s="17">
        <v>45754</v>
      </c>
      <c r="J17" s="18">
        <v>45755</v>
      </c>
      <c r="K17" s="18">
        <v>45756</v>
      </c>
      <c r="L17" s="18">
        <v>45757</v>
      </c>
      <c r="M17" s="18">
        <v>45758</v>
      </c>
      <c r="N17" s="18">
        <v>45759</v>
      </c>
      <c r="O17" s="19">
        <v>45760</v>
      </c>
    </row>
    <row r="18" spans="1:15" x14ac:dyDescent="0.2">
      <c r="A18" s="8">
        <v>45726</v>
      </c>
      <c r="B18" s="9">
        <v>45727</v>
      </c>
      <c r="C18" s="9">
        <v>45728</v>
      </c>
      <c r="D18" s="9">
        <v>45729</v>
      </c>
      <c r="E18" s="9">
        <v>45730</v>
      </c>
      <c r="F18" s="9">
        <v>45731</v>
      </c>
      <c r="G18" s="10">
        <v>45732</v>
      </c>
      <c r="H18" s="1"/>
      <c r="I18" s="17">
        <v>45761</v>
      </c>
      <c r="J18" s="18">
        <v>45762</v>
      </c>
      <c r="K18" s="18">
        <v>45763</v>
      </c>
      <c r="L18" s="18">
        <v>45764</v>
      </c>
      <c r="M18" s="23">
        <v>45765</v>
      </c>
      <c r="N18" s="23">
        <v>45766</v>
      </c>
      <c r="O18" s="19">
        <v>45767</v>
      </c>
    </row>
    <row r="19" spans="1:15" x14ac:dyDescent="0.2">
      <c r="A19" s="8">
        <v>45733</v>
      </c>
      <c r="B19" s="9">
        <v>45734</v>
      </c>
      <c r="C19" s="9">
        <v>45735</v>
      </c>
      <c r="D19" s="9">
        <v>45736</v>
      </c>
      <c r="E19" s="9">
        <v>45737</v>
      </c>
      <c r="F19" s="9">
        <v>45738</v>
      </c>
      <c r="G19" s="10">
        <v>45739</v>
      </c>
      <c r="H19" s="1"/>
      <c r="I19" s="17">
        <v>45768</v>
      </c>
      <c r="J19" s="18">
        <v>45769</v>
      </c>
      <c r="K19" s="18">
        <v>45770</v>
      </c>
      <c r="L19" s="18">
        <v>45771</v>
      </c>
      <c r="M19" s="18">
        <v>45772</v>
      </c>
      <c r="N19" s="18">
        <v>45773</v>
      </c>
      <c r="O19" s="19">
        <v>45774</v>
      </c>
    </row>
    <row r="20" spans="1:15" x14ac:dyDescent="0.2">
      <c r="A20" s="8">
        <v>45740</v>
      </c>
      <c r="B20" s="9">
        <v>45741</v>
      </c>
      <c r="C20" s="9">
        <v>45742</v>
      </c>
      <c r="D20" s="9">
        <v>45743</v>
      </c>
      <c r="E20" s="9">
        <v>45744</v>
      </c>
      <c r="F20" s="9">
        <v>45745</v>
      </c>
      <c r="G20" s="10">
        <v>45746</v>
      </c>
      <c r="H20" s="1"/>
      <c r="I20" s="17">
        <v>45775</v>
      </c>
      <c r="J20" s="18">
        <v>45776</v>
      </c>
      <c r="K20" s="18">
        <v>45777</v>
      </c>
      <c r="L20" s="18">
        <v>45778</v>
      </c>
      <c r="M20" s="18">
        <v>45779</v>
      </c>
      <c r="N20" s="18">
        <v>45780</v>
      </c>
      <c r="O20" s="19">
        <v>45781</v>
      </c>
    </row>
    <row r="21" spans="1:15" ht="16" thickBot="1" x14ac:dyDescent="0.25">
      <c r="A21" s="11">
        <v>45747</v>
      </c>
      <c r="B21" s="12">
        <v>45748</v>
      </c>
      <c r="C21" s="12">
        <v>45749</v>
      </c>
      <c r="D21" s="12">
        <v>45750</v>
      </c>
      <c r="E21" s="12">
        <v>45751</v>
      </c>
      <c r="F21" s="12">
        <v>45752</v>
      </c>
      <c r="G21" s="13">
        <v>45753</v>
      </c>
      <c r="H21" s="1"/>
      <c r="I21" s="20">
        <v>45782</v>
      </c>
      <c r="J21" s="21">
        <v>45783</v>
      </c>
      <c r="K21" s="21">
        <v>45784</v>
      </c>
      <c r="L21" s="21">
        <v>45785</v>
      </c>
      <c r="M21" s="21">
        <v>45786</v>
      </c>
      <c r="N21" s="21">
        <v>45787</v>
      </c>
      <c r="O21" s="22">
        <v>45788</v>
      </c>
    </row>
    <row r="22" spans="1: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0" thickBot="1" x14ac:dyDescent="0.3">
      <c r="A23" s="2" t="s">
        <v>28</v>
      </c>
      <c r="B23" s="47" t="s">
        <v>42</v>
      </c>
      <c r="C23" s="47"/>
      <c r="D23" s="47"/>
      <c r="E23" s="2" t="s">
        <v>30</v>
      </c>
      <c r="F23" s="47">
        <f>F13</f>
        <v>2025</v>
      </c>
      <c r="G23" s="47"/>
      <c r="H23" s="1"/>
      <c r="I23" s="2" t="s">
        <v>28</v>
      </c>
      <c r="J23" s="47" t="s">
        <v>43</v>
      </c>
      <c r="K23" s="47"/>
      <c r="L23" s="47"/>
      <c r="M23" s="2" t="s">
        <v>30</v>
      </c>
      <c r="N23" s="47">
        <f>F23</f>
        <v>2025</v>
      </c>
      <c r="O23" s="47"/>
    </row>
    <row r="24" spans="1:15" ht="21" x14ac:dyDescent="0.2">
      <c r="A24" s="48" t="s">
        <v>32</v>
      </c>
      <c r="B24" s="48"/>
      <c r="C24" s="48"/>
      <c r="D24" s="48"/>
      <c r="E24" s="48"/>
      <c r="F24" s="48"/>
      <c r="G24" s="48"/>
      <c r="H24" s="1"/>
      <c r="I24" s="48" t="s">
        <v>32</v>
      </c>
      <c r="J24" s="48"/>
      <c r="K24" s="48"/>
      <c r="L24" s="48"/>
      <c r="M24" s="48"/>
      <c r="N24" s="48"/>
      <c r="O24" s="48"/>
    </row>
    <row r="25" spans="1:15" ht="16" thickBot="1" x14ac:dyDescent="0.25">
      <c r="A25" s="3" t="s">
        <v>33</v>
      </c>
      <c r="B25" s="3" t="s">
        <v>34</v>
      </c>
      <c r="C25" s="3" t="s">
        <v>35</v>
      </c>
      <c r="D25" s="3" t="s">
        <v>36</v>
      </c>
      <c r="E25" s="3" t="s">
        <v>37</v>
      </c>
      <c r="F25" s="3" t="s">
        <v>38</v>
      </c>
      <c r="G25" s="3" t="s">
        <v>39</v>
      </c>
      <c r="H25" s="1"/>
      <c r="I25" s="3" t="s">
        <v>33</v>
      </c>
      <c r="J25" s="3" t="s">
        <v>34</v>
      </c>
      <c r="K25" s="3" t="s">
        <v>35</v>
      </c>
      <c r="L25" s="3" t="s">
        <v>36</v>
      </c>
      <c r="M25" s="3" t="s">
        <v>37</v>
      </c>
      <c r="N25" s="3" t="s">
        <v>38</v>
      </c>
      <c r="O25" s="3" t="s">
        <v>39</v>
      </c>
    </row>
    <row r="26" spans="1:15" x14ac:dyDescent="0.2">
      <c r="A26" s="14" cm="1">
        <f t="array" ref="A26:G31">_xlfn.SEQUENCE(6,7)+DATE(F23,MONTH(B23&amp;1),1)-WEEKDAY(DATE(F23,MONTH(B23&amp;1),1),2)</f>
        <v>45775</v>
      </c>
      <c r="B26" s="15">
        <v>45776</v>
      </c>
      <c r="C26" s="15">
        <v>45777</v>
      </c>
      <c r="D26" s="24">
        <v>45778</v>
      </c>
      <c r="E26" s="15">
        <v>45779</v>
      </c>
      <c r="F26" s="15">
        <v>45780</v>
      </c>
      <c r="G26" s="16">
        <v>45781</v>
      </c>
      <c r="H26" s="1"/>
      <c r="I26" s="14" cm="1">
        <f t="array" ref="I26:O31">_xlfn.SEQUENCE(6,7)+DATE(N23,MONTH(J23&amp;1),1)-WEEKDAY(DATE(N23,MONTH(J23&amp;1),1),2)</f>
        <v>45803</v>
      </c>
      <c r="J26" s="15">
        <v>45804</v>
      </c>
      <c r="K26" s="15">
        <v>45805</v>
      </c>
      <c r="L26" s="15">
        <v>45806</v>
      </c>
      <c r="M26" s="15">
        <v>45807</v>
      </c>
      <c r="N26" s="15">
        <v>45808</v>
      </c>
      <c r="O26" s="16">
        <v>45809</v>
      </c>
    </row>
    <row r="27" spans="1:15" x14ac:dyDescent="0.2">
      <c r="A27" s="17">
        <v>45782</v>
      </c>
      <c r="B27" s="18">
        <v>45783</v>
      </c>
      <c r="C27" s="18">
        <v>45784</v>
      </c>
      <c r="D27" s="18">
        <v>45785</v>
      </c>
      <c r="E27" s="18">
        <v>45786</v>
      </c>
      <c r="F27" s="18">
        <v>45787</v>
      </c>
      <c r="G27" s="19">
        <v>45788</v>
      </c>
      <c r="H27" s="1"/>
      <c r="I27" s="17">
        <v>45810</v>
      </c>
      <c r="J27" s="18">
        <v>45811</v>
      </c>
      <c r="K27" s="18">
        <v>45812</v>
      </c>
      <c r="L27" s="18">
        <v>45813</v>
      </c>
      <c r="M27" s="18">
        <v>45814</v>
      </c>
      <c r="N27" s="18">
        <v>45815</v>
      </c>
      <c r="O27" s="19">
        <v>45816</v>
      </c>
    </row>
    <row r="28" spans="1:15" x14ac:dyDescent="0.2">
      <c r="A28" s="17">
        <v>45789</v>
      </c>
      <c r="B28" s="18">
        <v>45790</v>
      </c>
      <c r="C28" s="18">
        <v>45791</v>
      </c>
      <c r="D28" s="18">
        <v>45792</v>
      </c>
      <c r="E28" s="18">
        <v>45793</v>
      </c>
      <c r="F28" s="18">
        <v>45794</v>
      </c>
      <c r="G28" s="19">
        <v>45795</v>
      </c>
      <c r="H28" s="1"/>
      <c r="I28" s="17">
        <v>45817</v>
      </c>
      <c r="J28" s="18">
        <v>45818</v>
      </c>
      <c r="K28" s="18">
        <v>45819</v>
      </c>
      <c r="L28" s="18">
        <v>45820</v>
      </c>
      <c r="M28" s="18">
        <v>45821</v>
      </c>
      <c r="N28" s="18">
        <v>45822</v>
      </c>
      <c r="O28" s="19">
        <v>45823</v>
      </c>
    </row>
    <row r="29" spans="1:15" x14ac:dyDescent="0.2">
      <c r="A29" s="17">
        <v>45796</v>
      </c>
      <c r="B29" s="18">
        <v>45797</v>
      </c>
      <c r="C29" s="23">
        <v>45798</v>
      </c>
      <c r="D29" s="18">
        <v>45799</v>
      </c>
      <c r="E29" s="18">
        <v>45800</v>
      </c>
      <c r="F29" s="18">
        <v>45801</v>
      </c>
      <c r="G29" s="19">
        <v>45802</v>
      </c>
      <c r="H29" s="1"/>
      <c r="I29" s="17">
        <v>45824</v>
      </c>
      <c r="J29" s="18">
        <v>45825</v>
      </c>
      <c r="K29" s="18">
        <v>45826</v>
      </c>
      <c r="L29" s="18">
        <v>45827</v>
      </c>
      <c r="M29" s="23">
        <v>45828</v>
      </c>
      <c r="N29" s="18">
        <v>45829</v>
      </c>
      <c r="O29" s="19">
        <v>45830</v>
      </c>
    </row>
    <row r="30" spans="1:15" x14ac:dyDescent="0.2">
      <c r="A30" s="17">
        <v>45803</v>
      </c>
      <c r="B30" s="18">
        <v>45804</v>
      </c>
      <c r="C30" s="18">
        <v>45805</v>
      </c>
      <c r="D30" s="18">
        <v>45806</v>
      </c>
      <c r="E30" s="18">
        <v>45807</v>
      </c>
      <c r="F30" s="18">
        <v>45808</v>
      </c>
      <c r="G30" s="19">
        <v>45809</v>
      </c>
      <c r="H30" s="1"/>
      <c r="I30" s="17">
        <v>45831</v>
      </c>
      <c r="J30" s="18">
        <v>45832</v>
      </c>
      <c r="K30" s="18">
        <v>45833</v>
      </c>
      <c r="L30" s="18">
        <v>45834</v>
      </c>
      <c r="M30" s="18">
        <v>45835</v>
      </c>
      <c r="N30" s="18">
        <v>45836</v>
      </c>
      <c r="O30" s="25">
        <v>45837</v>
      </c>
    </row>
    <row r="31" spans="1:15" ht="16" thickBot="1" x14ac:dyDescent="0.25">
      <c r="A31" s="20">
        <v>45810</v>
      </c>
      <c r="B31" s="21">
        <v>45811</v>
      </c>
      <c r="C31" s="21">
        <v>45812</v>
      </c>
      <c r="D31" s="21">
        <v>45813</v>
      </c>
      <c r="E31" s="21">
        <v>45814</v>
      </c>
      <c r="F31" s="21">
        <v>45815</v>
      </c>
      <c r="G31" s="22">
        <v>45816</v>
      </c>
      <c r="H31" s="1"/>
      <c r="I31" s="20">
        <v>45838</v>
      </c>
      <c r="J31" s="21">
        <v>45839</v>
      </c>
      <c r="K31" s="21">
        <v>45840</v>
      </c>
      <c r="L31" s="21">
        <v>45841</v>
      </c>
      <c r="M31" s="21">
        <v>45842</v>
      </c>
      <c r="N31" s="21">
        <v>45843</v>
      </c>
      <c r="O31" s="22">
        <v>45844</v>
      </c>
    </row>
    <row r="32" spans="1: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0" thickBot="1" x14ac:dyDescent="0.3">
      <c r="A33" s="2" t="s">
        <v>28</v>
      </c>
      <c r="B33" s="47" t="s">
        <v>44</v>
      </c>
      <c r="C33" s="47"/>
      <c r="D33" s="47"/>
      <c r="E33" s="2" t="s">
        <v>30</v>
      </c>
      <c r="F33" s="47">
        <f>F3</f>
        <v>2025</v>
      </c>
      <c r="G33" s="47"/>
      <c r="H33" s="1"/>
      <c r="I33" s="2" t="s">
        <v>28</v>
      </c>
      <c r="J33" s="47" t="s">
        <v>45</v>
      </c>
      <c r="K33" s="47"/>
      <c r="L33" s="47"/>
      <c r="M33" s="2" t="s">
        <v>30</v>
      </c>
      <c r="N33" s="47">
        <f>F33</f>
        <v>2025</v>
      </c>
      <c r="O33" s="47"/>
    </row>
    <row r="34" spans="1:15" ht="21" x14ac:dyDescent="0.2">
      <c r="A34" s="48" t="s">
        <v>32</v>
      </c>
      <c r="B34" s="48"/>
      <c r="C34" s="48"/>
      <c r="D34" s="48"/>
      <c r="E34" s="48"/>
      <c r="F34" s="48"/>
      <c r="G34" s="48"/>
      <c r="H34" s="1"/>
      <c r="I34" s="48" t="s">
        <v>32</v>
      </c>
      <c r="J34" s="48"/>
      <c r="K34" s="48"/>
      <c r="L34" s="48"/>
      <c r="M34" s="48"/>
      <c r="N34" s="48"/>
      <c r="O34" s="48"/>
    </row>
    <row r="35" spans="1:15" ht="16" thickBot="1" x14ac:dyDescent="0.25">
      <c r="A35" s="3" t="s">
        <v>33</v>
      </c>
      <c r="B35" s="3" t="s">
        <v>34</v>
      </c>
      <c r="C35" s="3" t="s">
        <v>35</v>
      </c>
      <c r="D35" s="3" t="s">
        <v>36</v>
      </c>
      <c r="E35" s="3" t="s">
        <v>37</v>
      </c>
      <c r="F35" s="3" t="s">
        <v>38</v>
      </c>
      <c r="G35" s="3" t="s">
        <v>39</v>
      </c>
      <c r="H35" s="1"/>
      <c r="I35" s="3" t="s">
        <v>33</v>
      </c>
      <c r="J35" s="3" t="s">
        <v>34</v>
      </c>
      <c r="K35" s="3" t="s">
        <v>35</v>
      </c>
      <c r="L35" s="3" t="s">
        <v>36</v>
      </c>
      <c r="M35" s="3" t="s">
        <v>37</v>
      </c>
      <c r="N35" s="3" t="s">
        <v>38</v>
      </c>
      <c r="O35" s="3" t="s">
        <v>39</v>
      </c>
    </row>
    <row r="36" spans="1:15" x14ac:dyDescent="0.2">
      <c r="A36" s="14" cm="1">
        <f t="array" ref="A36:G41">_xlfn.SEQUENCE(6,7)+DATE(F33,MONTH(B33&amp;1),1)-WEEKDAY(DATE(F33,MONTH(B33&amp;1),1),2)</f>
        <v>45838</v>
      </c>
      <c r="B36" s="15">
        <v>45839</v>
      </c>
      <c r="C36" s="15">
        <v>45840</v>
      </c>
      <c r="D36" s="15">
        <v>45841</v>
      </c>
      <c r="E36" s="15">
        <v>45842</v>
      </c>
      <c r="F36" s="15">
        <v>45843</v>
      </c>
      <c r="G36" s="16">
        <v>45844</v>
      </c>
      <c r="H36" s="1"/>
      <c r="I36" s="14" cm="1">
        <f t="array" ref="I36:O41">_xlfn.SEQUENCE(6,7)+DATE(N33,MONTH(J33&amp;1),1)-WEEKDAY(DATE(N33,MONTH(J33&amp;1),1),2)</f>
        <v>45866</v>
      </c>
      <c r="J36" s="15">
        <v>45867</v>
      </c>
      <c r="K36" s="15">
        <v>45868</v>
      </c>
      <c r="L36" s="15">
        <v>45869</v>
      </c>
      <c r="M36" s="15">
        <v>45870</v>
      </c>
      <c r="N36" s="15">
        <v>45871</v>
      </c>
      <c r="O36" s="16">
        <v>45872</v>
      </c>
    </row>
    <row r="37" spans="1:15" x14ac:dyDescent="0.2">
      <c r="A37" s="17">
        <v>45845</v>
      </c>
      <c r="B37" s="18">
        <v>45846</v>
      </c>
      <c r="C37" s="18">
        <v>45847</v>
      </c>
      <c r="D37" s="18">
        <v>45848</v>
      </c>
      <c r="E37" s="18">
        <v>45849</v>
      </c>
      <c r="F37" s="18">
        <v>45850</v>
      </c>
      <c r="G37" s="19">
        <v>45851</v>
      </c>
      <c r="H37" s="1"/>
      <c r="I37" s="17">
        <v>45873</v>
      </c>
      <c r="J37" s="18">
        <v>45874</v>
      </c>
      <c r="K37" s="18">
        <v>45875</v>
      </c>
      <c r="L37" s="18">
        <v>45876</v>
      </c>
      <c r="M37" s="18">
        <v>45877</v>
      </c>
      <c r="N37" s="18">
        <v>45878</v>
      </c>
      <c r="O37" s="19">
        <v>45879</v>
      </c>
    </row>
    <row r="38" spans="1:15" x14ac:dyDescent="0.2">
      <c r="A38" s="17">
        <v>45852</v>
      </c>
      <c r="B38" s="18">
        <v>45853</v>
      </c>
      <c r="C38" s="23">
        <v>45854</v>
      </c>
      <c r="D38" s="18">
        <v>45855</v>
      </c>
      <c r="E38" s="18">
        <v>45856</v>
      </c>
      <c r="F38" s="18">
        <v>45857</v>
      </c>
      <c r="G38" s="19">
        <v>45858</v>
      </c>
      <c r="H38" s="1"/>
      <c r="I38" s="17">
        <v>45880</v>
      </c>
      <c r="J38" s="18">
        <v>45881</v>
      </c>
      <c r="K38" s="18">
        <v>45882</v>
      </c>
      <c r="L38" s="18">
        <v>45883</v>
      </c>
      <c r="M38" s="23">
        <v>45884</v>
      </c>
      <c r="N38" s="18">
        <v>45885</v>
      </c>
      <c r="O38" s="19">
        <v>45886</v>
      </c>
    </row>
    <row r="39" spans="1:15" x14ac:dyDescent="0.2">
      <c r="A39" s="17">
        <v>45859</v>
      </c>
      <c r="B39" s="18">
        <v>45860</v>
      </c>
      <c r="C39" s="18">
        <v>45861</v>
      </c>
      <c r="D39" s="18">
        <v>45862</v>
      </c>
      <c r="E39" s="18">
        <v>45863</v>
      </c>
      <c r="F39" s="18">
        <v>45864</v>
      </c>
      <c r="G39" s="19">
        <v>45865</v>
      </c>
      <c r="H39" s="1"/>
      <c r="I39" s="17">
        <v>45887</v>
      </c>
      <c r="J39" s="18">
        <v>45888</v>
      </c>
      <c r="K39" s="18">
        <v>45889</v>
      </c>
      <c r="L39" s="18">
        <v>45890</v>
      </c>
      <c r="M39" s="18">
        <v>45891</v>
      </c>
      <c r="N39" s="18">
        <v>45892</v>
      </c>
      <c r="O39" s="19">
        <v>45893</v>
      </c>
    </row>
    <row r="40" spans="1:15" x14ac:dyDescent="0.2">
      <c r="A40" s="17">
        <v>45866</v>
      </c>
      <c r="B40" s="18">
        <v>45867</v>
      </c>
      <c r="C40" s="18">
        <v>45868</v>
      </c>
      <c r="D40" s="18">
        <v>45869</v>
      </c>
      <c r="E40" s="18">
        <v>45870</v>
      </c>
      <c r="F40" s="18">
        <v>45871</v>
      </c>
      <c r="G40" s="19">
        <v>45872</v>
      </c>
      <c r="H40" s="1"/>
      <c r="I40" s="17">
        <v>45894</v>
      </c>
      <c r="J40" s="18">
        <v>45895</v>
      </c>
      <c r="K40" s="18">
        <v>45896</v>
      </c>
      <c r="L40" s="18">
        <v>45897</v>
      </c>
      <c r="M40" s="18">
        <v>45898</v>
      </c>
      <c r="N40" s="18">
        <v>45899</v>
      </c>
      <c r="O40" s="19">
        <v>45900</v>
      </c>
    </row>
    <row r="41" spans="1:15" ht="16" thickBot="1" x14ac:dyDescent="0.25">
      <c r="A41" s="20">
        <v>45873</v>
      </c>
      <c r="B41" s="21">
        <v>45874</v>
      </c>
      <c r="C41" s="21">
        <v>45875</v>
      </c>
      <c r="D41" s="21">
        <v>45876</v>
      </c>
      <c r="E41" s="21">
        <v>45877</v>
      </c>
      <c r="F41" s="21">
        <v>45878</v>
      </c>
      <c r="G41" s="22">
        <v>45879</v>
      </c>
      <c r="H41" s="1"/>
      <c r="I41" s="20">
        <v>45901</v>
      </c>
      <c r="J41" s="21">
        <v>45902</v>
      </c>
      <c r="K41" s="21">
        <v>45903</v>
      </c>
      <c r="L41" s="21">
        <v>45904</v>
      </c>
      <c r="M41" s="21">
        <v>45905</v>
      </c>
      <c r="N41" s="21">
        <v>45906</v>
      </c>
      <c r="O41" s="22">
        <v>45907</v>
      </c>
    </row>
    <row r="42" spans="1: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20" thickBot="1" x14ac:dyDescent="0.3">
      <c r="A43" s="2" t="s">
        <v>28</v>
      </c>
      <c r="B43" s="47" t="s">
        <v>46</v>
      </c>
      <c r="C43" s="47"/>
      <c r="D43" s="47"/>
      <c r="E43" s="2" t="s">
        <v>30</v>
      </c>
      <c r="F43" s="47">
        <f>F13</f>
        <v>2025</v>
      </c>
      <c r="G43" s="47"/>
      <c r="H43" s="1"/>
      <c r="I43" s="2" t="s">
        <v>28</v>
      </c>
      <c r="J43" s="47" t="s">
        <v>47</v>
      </c>
      <c r="K43" s="47"/>
      <c r="L43" s="47"/>
      <c r="M43" s="2" t="s">
        <v>30</v>
      </c>
      <c r="N43" s="47">
        <f>F43</f>
        <v>2025</v>
      </c>
      <c r="O43" s="47"/>
    </row>
    <row r="44" spans="1:15" ht="21" x14ac:dyDescent="0.2">
      <c r="A44" s="48" t="s">
        <v>32</v>
      </c>
      <c r="B44" s="48"/>
      <c r="C44" s="48"/>
      <c r="D44" s="48"/>
      <c r="E44" s="48"/>
      <c r="F44" s="48"/>
      <c r="G44" s="48"/>
      <c r="H44" s="1"/>
      <c r="I44" s="48" t="s">
        <v>32</v>
      </c>
      <c r="J44" s="48"/>
      <c r="K44" s="48"/>
      <c r="L44" s="48"/>
      <c r="M44" s="48"/>
      <c r="N44" s="48"/>
      <c r="O44" s="48"/>
    </row>
    <row r="45" spans="1:15" ht="16" thickBot="1" x14ac:dyDescent="0.25">
      <c r="A45" s="3" t="s">
        <v>33</v>
      </c>
      <c r="B45" s="3" t="s">
        <v>34</v>
      </c>
      <c r="C45" s="3" t="s">
        <v>35</v>
      </c>
      <c r="D45" s="3" t="s">
        <v>36</v>
      </c>
      <c r="E45" s="3" t="s">
        <v>37</v>
      </c>
      <c r="F45" s="3" t="s">
        <v>38</v>
      </c>
      <c r="G45" s="3" t="s">
        <v>39</v>
      </c>
      <c r="H45" s="1"/>
      <c r="I45" s="3" t="s">
        <v>33</v>
      </c>
      <c r="J45" s="3" t="s">
        <v>34</v>
      </c>
      <c r="K45" s="3" t="s">
        <v>35</v>
      </c>
      <c r="L45" s="3" t="s">
        <v>36</v>
      </c>
      <c r="M45" s="3" t="s">
        <v>37</v>
      </c>
      <c r="N45" s="3" t="s">
        <v>38</v>
      </c>
      <c r="O45" s="3" t="s">
        <v>39</v>
      </c>
    </row>
    <row r="46" spans="1:15" x14ac:dyDescent="0.2">
      <c r="A46" s="14" cm="1">
        <f t="array" ref="A46:G51">_xlfn.SEQUENCE(6,7)+DATE(F43,MONTH(B43&amp;1),1)-WEEKDAY(DATE(F43,MONTH(B43&amp;1),1),2)</f>
        <v>45901</v>
      </c>
      <c r="B46" s="15">
        <v>45902</v>
      </c>
      <c r="C46" s="15">
        <v>45903</v>
      </c>
      <c r="D46" s="15">
        <v>45904</v>
      </c>
      <c r="E46" s="15">
        <v>45905</v>
      </c>
      <c r="F46" s="15">
        <v>45906</v>
      </c>
      <c r="G46" s="16">
        <v>45907</v>
      </c>
      <c r="H46" s="1"/>
      <c r="I46" s="14" cm="1">
        <f t="array" ref="I46:O51">_xlfn.SEQUENCE(6,7)+DATE(N43,MONTH(J43&amp;1),1)-WEEKDAY(DATE(N43,MONTH(J43&amp;1),1),2)</f>
        <v>45929</v>
      </c>
      <c r="J46" s="15">
        <v>45930</v>
      </c>
      <c r="K46" s="15">
        <v>45931</v>
      </c>
      <c r="L46" s="15">
        <v>45932</v>
      </c>
      <c r="M46" s="15">
        <v>45933</v>
      </c>
      <c r="N46" s="15">
        <v>45934</v>
      </c>
      <c r="O46" s="16">
        <v>45935</v>
      </c>
    </row>
    <row r="47" spans="1:15" x14ac:dyDescent="0.2">
      <c r="A47" s="17">
        <v>45908</v>
      </c>
      <c r="B47" s="18">
        <v>45909</v>
      </c>
      <c r="C47" s="18">
        <v>45910</v>
      </c>
      <c r="D47" s="18">
        <v>45911</v>
      </c>
      <c r="E47" s="18">
        <v>45912</v>
      </c>
      <c r="F47" s="18">
        <v>45913</v>
      </c>
      <c r="G47" s="19">
        <v>45914</v>
      </c>
      <c r="H47" s="1"/>
      <c r="I47" s="17">
        <v>45936</v>
      </c>
      <c r="J47" s="18">
        <v>45937</v>
      </c>
      <c r="K47" s="18">
        <v>45938</v>
      </c>
      <c r="L47" s="18">
        <v>45939</v>
      </c>
      <c r="M47" s="18">
        <v>45940</v>
      </c>
      <c r="N47" s="18">
        <v>45941</v>
      </c>
      <c r="O47" s="25">
        <v>45942</v>
      </c>
    </row>
    <row r="48" spans="1:15" x14ac:dyDescent="0.2">
      <c r="A48" s="17">
        <v>45915</v>
      </c>
      <c r="B48" s="18">
        <v>45916</v>
      </c>
      <c r="C48" s="18">
        <v>45917</v>
      </c>
      <c r="D48" s="23">
        <v>45918</v>
      </c>
      <c r="E48" s="23">
        <v>45919</v>
      </c>
      <c r="F48" s="18">
        <v>45920</v>
      </c>
      <c r="G48" s="19">
        <v>45921</v>
      </c>
      <c r="H48" s="1"/>
      <c r="I48" s="17">
        <v>45943</v>
      </c>
      <c r="J48" s="18">
        <v>45944</v>
      </c>
      <c r="K48" s="18">
        <v>45945</v>
      </c>
      <c r="L48" s="18">
        <v>45946</v>
      </c>
      <c r="M48" s="18">
        <v>45947</v>
      </c>
      <c r="N48" s="18">
        <v>45948</v>
      </c>
      <c r="O48" s="19">
        <v>45949</v>
      </c>
    </row>
    <row r="49" spans="1:15" x14ac:dyDescent="0.2">
      <c r="A49" s="17">
        <v>45922</v>
      </c>
      <c r="B49" s="18">
        <v>45923</v>
      </c>
      <c r="C49" s="18">
        <v>45924</v>
      </c>
      <c r="D49" s="18">
        <v>45925</v>
      </c>
      <c r="E49" s="18">
        <v>45926</v>
      </c>
      <c r="F49" s="18">
        <v>45927</v>
      </c>
      <c r="G49" s="19">
        <v>45928</v>
      </c>
      <c r="H49" s="1"/>
      <c r="I49" s="17">
        <v>45950</v>
      </c>
      <c r="J49" s="23">
        <v>45951</v>
      </c>
      <c r="K49" s="18">
        <v>45952</v>
      </c>
      <c r="L49" s="18">
        <v>45953</v>
      </c>
      <c r="M49" s="18">
        <v>45954</v>
      </c>
      <c r="N49" s="18">
        <v>45955</v>
      </c>
      <c r="O49" s="19">
        <v>45956</v>
      </c>
    </row>
    <row r="50" spans="1:15" x14ac:dyDescent="0.2">
      <c r="A50" s="17">
        <v>45929</v>
      </c>
      <c r="B50" s="18">
        <v>45930</v>
      </c>
      <c r="C50" s="18">
        <v>45931</v>
      </c>
      <c r="D50" s="18">
        <v>45932</v>
      </c>
      <c r="E50" s="18">
        <v>45933</v>
      </c>
      <c r="F50" s="18">
        <v>45934</v>
      </c>
      <c r="G50" s="19">
        <v>45935</v>
      </c>
      <c r="H50" s="1"/>
      <c r="I50" s="17">
        <v>45957</v>
      </c>
      <c r="J50" s="18">
        <v>45958</v>
      </c>
      <c r="K50" s="18">
        <v>45959</v>
      </c>
      <c r="L50" s="18">
        <v>45960</v>
      </c>
      <c r="M50" s="23">
        <v>45961</v>
      </c>
      <c r="N50" s="18">
        <v>45962</v>
      </c>
      <c r="O50" s="19">
        <v>45963</v>
      </c>
    </row>
    <row r="51" spans="1:15" ht="16" thickBot="1" x14ac:dyDescent="0.25">
      <c r="A51" s="20">
        <v>45936</v>
      </c>
      <c r="B51" s="21">
        <v>45937</v>
      </c>
      <c r="C51" s="21">
        <v>45938</v>
      </c>
      <c r="D51" s="21">
        <v>45939</v>
      </c>
      <c r="E51" s="21">
        <v>45940</v>
      </c>
      <c r="F51" s="21">
        <v>45941</v>
      </c>
      <c r="G51" s="22">
        <v>45942</v>
      </c>
      <c r="H51" s="1"/>
      <c r="I51" s="20">
        <v>45964</v>
      </c>
      <c r="J51" s="21">
        <v>45965</v>
      </c>
      <c r="K51" s="21">
        <v>45966</v>
      </c>
      <c r="L51" s="21">
        <v>45967</v>
      </c>
      <c r="M51" s="21">
        <v>45968</v>
      </c>
      <c r="N51" s="21">
        <v>45969</v>
      </c>
      <c r="O51" s="22">
        <v>45970</v>
      </c>
    </row>
    <row r="52" spans="1: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20" thickBot="1" x14ac:dyDescent="0.3">
      <c r="A53" s="2" t="s">
        <v>28</v>
      </c>
      <c r="B53" s="47" t="s">
        <v>48</v>
      </c>
      <c r="C53" s="47"/>
      <c r="D53" s="47"/>
      <c r="E53" s="2" t="s">
        <v>30</v>
      </c>
      <c r="F53" s="47">
        <f>F23</f>
        <v>2025</v>
      </c>
      <c r="G53" s="47"/>
      <c r="H53" s="1"/>
      <c r="I53" s="2" t="s">
        <v>28</v>
      </c>
      <c r="J53" s="47" t="s">
        <v>49</v>
      </c>
      <c r="K53" s="47"/>
      <c r="L53" s="47"/>
      <c r="M53" s="2" t="s">
        <v>30</v>
      </c>
      <c r="N53" s="47">
        <f>F53</f>
        <v>2025</v>
      </c>
      <c r="O53" s="47"/>
    </row>
    <row r="54" spans="1:15" ht="21" x14ac:dyDescent="0.2">
      <c r="A54" s="48" t="s">
        <v>32</v>
      </c>
      <c r="B54" s="48"/>
      <c r="C54" s="48"/>
      <c r="D54" s="48"/>
      <c r="E54" s="48"/>
      <c r="F54" s="48"/>
      <c r="G54" s="48"/>
      <c r="H54" s="1"/>
      <c r="I54" s="48" t="s">
        <v>32</v>
      </c>
      <c r="J54" s="48"/>
      <c r="K54" s="48"/>
      <c r="L54" s="48"/>
      <c r="M54" s="48"/>
      <c r="N54" s="48"/>
      <c r="O54" s="48"/>
    </row>
    <row r="55" spans="1:15" ht="16" thickBot="1" x14ac:dyDescent="0.25">
      <c r="A55" s="3" t="s">
        <v>33</v>
      </c>
      <c r="B55" s="3" t="s">
        <v>34</v>
      </c>
      <c r="C55" s="3" t="s">
        <v>35</v>
      </c>
      <c r="D55" s="3" t="s">
        <v>36</v>
      </c>
      <c r="E55" s="3" t="s">
        <v>37</v>
      </c>
      <c r="F55" s="3" t="s">
        <v>38</v>
      </c>
      <c r="G55" s="3" t="s">
        <v>39</v>
      </c>
      <c r="H55" s="1"/>
      <c r="I55" s="3" t="s">
        <v>33</v>
      </c>
      <c r="J55" s="3" t="s">
        <v>34</v>
      </c>
      <c r="K55" s="3" t="s">
        <v>35</v>
      </c>
      <c r="L55" s="3" t="s">
        <v>36</v>
      </c>
      <c r="M55" s="3" t="s">
        <v>37</v>
      </c>
      <c r="N55" s="3" t="s">
        <v>38</v>
      </c>
      <c r="O55" s="3" t="s">
        <v>39</v>
      </c>
    </row>
    <row r="56" spans="1:15" x14ac:dyDescent="0.2">
      <c r="A56" s="14" cm="1">
        <f t="array" ref="A56:G61">_xlfn.SEQUENCE(6,7)+DATE(F53,MONTH(B53&amp;1),1)-WEEKDAY(DATE(F53,MONTH(B53&amp;1),1),2)</f>
        <v>45957</v>
      </c>
      <c r="B56" s="15">
        <v>45958</v>
      </c>
      <c r="C56" s="15">
        <v>45959</v>
      </c>
      <c r="D56" s="15">
        <v>45960</v>
      </c>
      <c r="E56" s="15">
        <v>45961</v>
      </c>
      <c r="F56" s="24">
        <v>45962</v>
      </c>
      <c r="G56" s="16">
        <v>45963</v>
      </c>
      <c r="H56" s="1"/>
      <c r="I56" s="14" cm="1">
        <f t="array" ref="I56:O61">_xlfn.SEQUENCE(6,7)+DATE(N53,MONTH(J53&amp;1),1)-WEEKDAY(DATE(N53,MONTH(J53&amp;1),1),2)</f>
        <v>45992</v>
      </c>
      <c r="J56" s="15">
        <v>45993</v>
      </c>
      <c r="K56" s="15">
        <v>45994</v>
      </c>
      <c r="L56" s="15">
        <v>45995</v>
      </c>
      <c r="M56" s="15">
        <v>45996</v>
      </c>
      <c r="N56" s="15">
        <v>45997</v>
      </c>
      <c r="O56" s="16">
        <v>45998</v>
      </c>
    </row>
    <row r="57" spans="1:15" x14ac:dyDescent="0.2">
      <c r="A57" s="17">
        <v>45964</v>
      </c>
      <c r="B57" s="18">
        <v>45965</v>
      </c>
      <c r="C57" s="18">
        <v>45966</v>
      </c>
      <c r="D57" s="18">
        <v>45967</v>
      </c>
      <c r="E57" s="18">
        <v>45968</v>
      </c>
      <c r="F57" s="18">
        <v>45969</v>
      </c>
      <c r="G57" s="19">
        <v>45970</v>
      </c>
      <c r="H57" s="1"/>
      <c r="I57" s="26">
        <v>45999</v>
      </c>
      <c r="J57" s="18">
        <v>46000</v>
      </c>
      <c r="K57" s="18">
        <v>46001</v>
      </c>
      <c r="L57" s="18">
        <v>46002</v>
      </c>
      <c r="M57" s="18">
        <v>46003</v>
      </c>
      <c r="N57" s="18">
        <v>46004</v>
      </c>
      <c r="O57" s="25">
        <v>46005</v>
      </c>
    </row>
    <row r="58" spans="1:15" x14ac:dyDescent="0.2">
      <c r="A58" s="17">
        <v>45971</v>
      </c>
      <c r="B58" s="18">
        <v>45972</v>
      </c>
      <c r="C58" s="18">
        <v>45973</v>
      </c>
      <c r="D58" s="18">
        <v>45974</v>
      </c>
      <c r="E58" s="18">
        <v>45975</v>
      </c>
      <c r="F58" s="18">
        <v>45976</v>
      </c>
      <c r="G58" s="25">
        <v>45977</v>
      </c>
      <c r="H58" s="1"/>
      <c r="I58" s="17">
        <v>46006</v>
      </c>
      <c r="J58" s="18">
        <v>46007</v>
      </c>
      <c r="K58" s="18">
        <v>46008</v>
      </c>
      <c r="L58" s="18">
        <v>46009</v>
      </c>
      <c r="M58" s="18">
        <v>46010</v>
      </c>
      <c r="N58" s="18">
        <v>46011</v>
      </c>
      <c r="O58" s="19">
        <v>46012</v>
      </c>
    </row>
    <row r="59" spans="1:15" x14ac:dyDescent="0.2">
      <c r="A59" s="17">
        <v>45978</v>
      </c>
      <c r="B59" s="18">
        <v>45979</v>
      </c>
      <c r="C59" s="18">
        <v>45980</v>
      </c>
      <c r="D59" s="18">
        <v>45981</v>
      </c>
      <c r="E59" s="18">
        <v>45982</v>
      </c>
      <c r="F59" s="18">
        <v>45983</v>
      </c>
      <c r="G59" s="19">
        <v>45984</v>
      </c>
      <c r="H59" s="1"/>
      <c r="I59" s="17">
        <v>46013</v>
      </c>
      <c r="J59" s="18">
        <v>46014</v>
      </c>
      <c r="K59" s="18">
        <v>46015</v>
      </c>
      <c r="L59" s="23">
        <v>46016</v>
      </c>
      <c r="M59" s="18">
        <v>46017</v>
      </c>
      <c r="N59" s="18">
        <v>46018</v>
      </c>
      <c r="O59" s="19">
        <v>46019</v>
      </c>
    </row>
    <row r="60" spans="1:15" x14ac:dyDescent="0.2">
      <c r="A60" s="17">
        <v>45985</v>
      </c>
      <c r="B60" s="18">
        <v>45986</v>
      </c>
      <c r="C60" s="18">
        <v>45987</v>
      </c>
      <c r="D60" s="18">
        <v>45988</v>
      </c>
      <c r="E60" s="18">
        <v>45989</v>
      </c>
      <c r="F60" s="18">
        <v>45990</v>
      </c>
      <c r="G60" s="19">
        <v>45991</v>
      </c>
      <c r="H60" s="1"/>
      <c r="I60" s="17">
        <v>46020</v>
      </c>
      <c r="J60" s="18">
        <v>46021</v>
      </c>
      <c r="K60" s="18">
        <v>46022</v>
      </c>
      <c r="L60" s="18">
        <v>46023</v>
      </c>
      <c r="M60" s="18">
        <v>46024</v>
      </c>
      <c r="N60" s="18">
        <v>46025</v>
      </c>
      <c r="O60" s="19">
        <v>46026</v>
      </c>
    </row>
    <row r="61" spans="1:15" ht="16" thickBot="1" x14ac:dyDescent="0.25">
      <c r="A61" s="20">
        <v>45992</v>
      </c>
      <c r="B61" s="21">
        <v>45993</v>
      </c>
      <c r="C61" s="21">
        <v>45994</v>
      </c>
      <c r="D61" s="21">
        <v>45995</v>
      </c>
      <c r="E61" s="21">
        <v>45996</v>
      </c>
      <c r="F61" s="21">
        <v>45997</v>
      </c>
      <c r="G61" s="22">
        <v>45998</v>
      </c>
      <c r="H61" s="1"/>
      <c r="I61" s="20">
        <v>46027</v>
      </c>
      <c r="J61" s="21">
        <v>46028</v>
      </c>
      <c r="K61" s="21">
        <v>46029</v>
      </c>
      <c r="L61" s="21">
        <v>46030</v>
      </c>
      <c r="M61" s="21">
        <v>46031</v>
      </c>
      <c r="N61" s="21">
        <v>46032</v>
      </c>
      <c r="O61" s="22">
        <v>46033</v>
      </c>
    </row>
    <row r="62" spans="1: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</sheetData>
  <mergeCells count="36">
    <mergeCell ref="B53:D53"/>
    <mergeCell ref="F53:G53"/>
    <mergeCell ref="J53:L53"/>
    <mergeCell ref="N53:O53"/>
    <mergeCell ref="A54:G54"/>
    <mergeCell ref="I54:O54"/>
    <mergeCell ref="B43:D43"/>
    <mergeCell ref="F43:G43"/>
    <mergeCell ref="J43:L43"/>
    <mergeCell ref="N43:O43"/>
    <mergeCell ref="A44:G44"/>
    <mergeCell ref="I44:O44"/>
    <mergeCell ref="B33:D33"/>
    <mergeCell ref="F33:G33"/>
    <mergeCell ref="J33:L33"/>
    <mergeCell ref="N33:O33"/>
    <mergeCell ref="A34:G34"/>
    <mergeCell ref="I34:O34"/>
    <mergeCell ref="B23:D23"/>
    <mergeCell ref="F23:G23"/>
    <mergeCell ref="J23:L23"/>
    <mergeCell ref="N23:O23"/>
    <mergeCell ref="A24:G24"/>
    <mergeCell ref="I24:O24"/>
    <mergeCell ref="B13:D13"/>
    <mergeCell ref="F13:G13"/>
    <mergeCell ref="J13:L13"/>
    <mergeCell ref="N13:O13"/>
    <mergeCell ref="A14:G14"/>
    <mergeCell ref="I14:O14"/>
    <mergeCell ref="B3:D3"/>
    <mergeCell ref="F3:G3"/>
    <mergeCell ref="J3:L3"/>
    <mergeCell ref="N3:O3"/>
    <mergeCell ref="A4:G4"/>
    <mergeCell ref="I4:O4"/>
  </mergeCells>
  <conditionalFormatting sqref="A6:G11">
    <cfRule type="expression" dxfId="23" priority="6">
      <formula>MONTH($B$3&amp;1)&lt;&gt;MONTH(A6)</formula>
    </cfRule>
  </conditionalFormatting>
  <conditionalFormatting sqref="A16:G21">
    <cfRule type="expression" dxfId="22" priority="5">
      <formula>MONTH($B$13&amp;1)&lt;&gt;MONTH(A16)</formula>
    </cfRule>
  </conditionalFormatting>
  <conditionalFormatting sqref="A26:G31">
    <cfRule type="expression" dxfId="21" priority="2">
      <formula>MONTH($B$23&amp;1)&lt;&gt;MONTH(A26)</formula>
    </cfRule>
  </conditionalFormatting>
  <conditionalFormatting sqref="A36:G41">
    <cfRule type="expression" dxfId="20" priority="12">
      <formula>MONTH($B$33&amp;1)&lt;&gt;MONTH(A36)</formula>
    </cfRule>
  </conditionalFormatting>
  <conditionalFormatting sqref="A46:G51">
    <cfRule type="expression" dxfId="19" priority="11">
      <formula>MONTH($B$43&amp;1)&lt;&gt;MONTH(A46)</formula>
    </cfRule>
  </conditionalFormatting>
  <conditionalFormatting sqref="A56:G61">
    <cfRule type="expression" dxfId="18" priority="10">
      <formula>MONTH($B$53&amp;1)&lt;&gt;MONTH(A56)</formula>
    </cfRule>
  </conditionalFormatting>
  <conditionalFormatting sqref="I6:O11">
    <cfRule type="expression" dxfId="17" priority="4">
      <formula>MONTH($J$3&amp;1)&lt;&gt;MONTH(I6)</formula>
    </cfRule>
  </conditionalFormatting>
  <conditionalFormatting sqref="I16:O21">
    <cfRule type="expression" dxfId="16" priority="3">
      <formula>MONTH($J$13&amp;1)&lt;&gt;MONTH(I16)</formula>
    </cfRule>
  </conditionalFormatting>
  <conditionalFormatting sqref="I26:O31">
    <cfRule type="expression" dxfId="15" priority="1">
      <formula>MONTH($J$23&amp;1)&lt;&gt;MONTH(I26)</formula>
    </cfRule>
  </conditionalFormatting>
  <conditionalFormatting sqref="I36:O41">
    <cfRule type="expression" dxfId="14" priority="9">
      <formula>MONTH($J$33&amp;1)&lt;&gt;MONTH(I36)</formula>
    </cfRule>
  </conditionalFormatting>
  <conditionalFormatting sqref="I46:O51">
    <cfRule type="expression" dxfId="13" priority="8">
      <formula>MONTH($J$43&amp;1)&lt;&gt;MONTH(I46)</formula>
    </cfRule>
  </conditionalFormatting>
  <conditionalFormatting sqref="I56:O61">
    <cfRule type="expression" dxfId="12" priority="7">
      <formula>MONTH($J$53&amp;1)&lt;&gt;MONTH(I56)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87BB-662C-4B01-B01C-F3157288E14E}">
  <dimension ref="A1:O62"/>
  <sheetViews>
    <sheetView workbookViewId="0">
      <selection activeCell="F1" sqref="F1"/>
    </sheetView>
  </sheetViews>
  <sheetFormatPr baseColWidth="10" defaultColWidth="11.5" defaultRowHeight="15" x14ac:dyDescent="0.2"/>
  <sheetData>
    <row r="1" spans="1:1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0" thickBot="1" x14ac:dyDescent="0.3">
      <c r="A3" s="2" t="s">
        <v>28</v>
      </c>
      <c r="B3" s="47" t="s">
        <v>29</v>
      </c>
      <c r="C3" s="47"/>
      <c r="D3" s="47"/>
      <c r="E3" s="2" t="s">
        <v>30</v>
      </c>
      <c r="F3" s="47">
        <v>2026</v>
      </c>
      <c r="G3" s="47"/>
      <c r="H3" s="1"/>
      <c r="I3" s="2" t="s">
        <v>28</v>
      </c>
      <c r="J3" s="47" t="s">
        <v>31</v>
      </c>
      <c r="K3" s="47"/>
      <c r="L3" s="47"/>
      <c r="M3" s="2" t="s">
        <v>30</v>
      </c>
      <c r="N3" s="47">
        <f>F3</f>
        <v>2026</v>
      </c>
      <c r="O3" s="47"/>
    </row>
    <row r="4" spans="1:15" ht="21" x14ac:dyDescent="0.2">
      <c r="A4" s="48" t="s">
        <v>32</v>
      </c>
      <c r="B4" s="48"/>
      <c r="C4" s="48"/>
      <c r="D4" s="48"/>
      <c r="E4" s="48"/>
      <c r="F4" s="48"/>
      <c r="G4" s="48"/>
      <c r="H4" s="1"/>
      <c r="I4" s="48" t="s">
        <v>32</v>
      </c>
      <c r="J4" s="48"/>
      <c r="K4" s="48"/>
      <c r="L4" s="48"/>
      <c r="M4" s="48"/>
      <c r="N4" s="48"/>
      <c r="O4" s="48"/>
    </row>
    <row r="5" spans="1:15" ht="16" thickBot="1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1"/>
      <c r="I5" s="3" t="s">
        <v>33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  <c r="O5" s="3" t="s">
        <v>39</v>
      </c>
    </row>
    <row r="6" spans="1:15" x14ac:dyDescent="0.2">
      <c r="A6" s="4" cm="1">
        <f t="array" ref="A6:G11">_xlfn.SEQUENCE(6,7)+DATE(F3,MONTH(B3&amp;1),1)-WEEKDAY(DATE(F3,MONTH(B3&amp;1),1),2)</f>
        <v>46020</v>
      </c>
      <c r="B6" s="5">
        <v>46021</v>
      </c>
      <c r="C6" s="9">
        <v>46022</v>
      </c>
      <c r="D6" s="6">
        <v>46023</v>
      </c>
      <c r="E6" s="5">
        <v>46024</v>
      </c>
      <c r="F6" s="5">
        <v>46025</v>
      </c>
      <c r="G6" s="7">
        <v>46026</v>
      </c>
      <c r="H6" s="1"/>
      <c r="I6" s="14" cm="1">
        <f t="array" ref="I6:O11">_xlfn.SEQUENCE(6,7)+DATE(N3,MONTH(J3&amp;1),1)-WEEKDAY(DATE(N3,MONTH(J3&amp;1),1),2)</f>
        <v>46048</v>
      </c>
      <c r="J6" s="15">
        <v>46049</v>
      </c>
      <c r="K6" s="15">
        <v>46050</v>
      </c>
      <c r="L6" s="15">
        <v>46051</v>
      </c>
      <c r="M6" s="15">
        <v>46052</v>
      </c>
      <c r="N6" s="15">
        <v>46053</v>
      </c>
      <c r="O6" s="16">
        <v>46054</v>
      </c>
    </row>
    <row r="7" spans="1:15" x14ac:dyDescent="0.2">
      <c r="A7" s="8">
        <v>46027</v>
      </c>
      <c r="B7" s="9">
        <v>46028</v>
      </c>
      <c r="C7" s="9">
        <v>46029</v>
      </c>
      <c r="D7" s="9">
        <v>46030</v>
      </c>
      <c r="E7" s="9">
        <v>46031</v>
      </c>
      <c r="F7" s="9">
        <v>46032</v>
      </c>
      <c r="G7" s="10">
        <v>46033</v>
      </c>
      <c r="H7" s="1"/>
      <c r="I7" s="17">
        <v>46055</v>
      </c>
      <c r="J7" s="18">
        <v>46056</v>
      </c>
      <c r="K7" s="18">
        <v>46057</v>
      </c>
      <c r="L7" s="18">
        <v>46058</v>
      </c>
      <c r="M7" s="18">
        <v>46059</v>
      </c>
      <c r="N7" s="18">
        <v>46060</v>
      </c>
      <c r="O7" s="19">
        <v>46061</v>
      </c>
    </row>
    <row r="8" spans="1:15" x14ac:dyDescent="0.2">
      <c r="A8" s="8">
        <v>46034</v>
      </c>
      <c r="B8" s="9">
        <v>46035</v>
      </c>
      <c r="C8" s="9">
        <v>46036</v>
      </c>
      <c r="D8" s="9">
        <v>46037</v>
      </c>
      <c r="E8" s="9">
        <v>46038</v>
      </c>
      <c r="F8" s="9">
        <v>46039</v>
      </c>
      <c r="G8" s="10">
        <v>46040</v>
      </c>
      <c r="H8" s="1"/>
      <c r="I8" s="17">
        <v>46062</v>
      </c>
      <c r="J8" s="18">
        <v>46063</v>
      </c>
      <c r="K8" s="18">
        <v>46064</v>
      </c>
      <c r="L8" s="18">
        <v>46065</v>
      </c>
      <c r="M8" s="18">
        <v>46066</v>
      </c>
      <c r="N8" s="18">
        <v>46067</v>
      </c>
      <c r="O8" s="19">
        <v>46068</v>
      </c>
    </row>
    <row r="9" spans="1:15" x14ac:dyDescent="0.2">
      <c r="A9" s="8">
        <v>46041</v>
      </c>
      <c r="B9" s="9">
        <v>46042</v>
      </c>
      <c r="C9" s="9">
        <v>46043</v>
      </c>
      <c r="D9" s="9">
        <v>46044</v>
      </c>
      <c r="E9" s="9">
        <v>46045</v>
      </c>
      <c r="F9" s="9">
        <v>46046</v>
      </c>
      <c r="G9" s="10">
        <v>46047</v>
      </c>
      <c r="H9" s="1"/>
      <c r="I9" s="17">
        <v>46069</v>
      </c>
      <c r="J9" s="18">
        <v>46070</v>
      </c>
      <c r="K9" s="18">
        <v>46071</v>
      </c>
      <c r="L9" s="18">
        <v>46072</v>
      </c>
      <c r="M9" s="18">
        <v>46073</v>
      </c>
      <c r="N9" s="18">
        <v>46074</v>
      </c>
      <c r="O9" s="19">
        <v>46075</v>
      </c>
    </row>
    <row r="10" spans="1:15" x14ac:dyDescent="0.2">
      <c r="A10" s="8">
        <v>46048</v>
      </c>
      <c r="B10" s="9">
        <v>46049</v>
      </c>
      <c r="C10" s="9">
        <v>46050</v>
      </c>
      <c r="D10" s="9">
        <v>46051</v>
      </c>
      <c r="E10" s="9">
        <v>46052</v>
      </c>
      <c r="F10" s="9">
        <v>46053</v>
      </c>
      <c r="G10" s="10">
        <v>46054</v>
      </c>
      <c r="H10" s="1"/>
      <c r="I10" s="17">
        <v>46076</v>
      </c>
      <c r="J10" s="18">
        <v>46077</v>
      </c>
      <c r="K10" s="18">
        <v>46078</v>
      </c>
      <c r="L10" s="18">
        <v>46079</v>
      </c>
      <c r="M10" s="18">
        <v>46080</v>
      </c>
      <c r="N10" s="18">
        <v>46081</v>
      </c>
      <c r="O10" s="19">
        <v>46082</v>
      </c>
    </row>
    <row r="11" spans="1:15" ht="16" thickBot="1" x14ac:dyDescent="0.25">
      <c r="A11" s="11">
        <v>46055</v>
      </c>
      <c r="B11" s="12">
        <v>46056</v>
      </c>
      <c r="C11" s="12">
        <v>46057</v>
      </c>
      <c r="D11" s="12">
        <v>46058</v>
      </c>
      <c r="E11" s="12">
        <v>46059</v>
      </c>
      <c r="F11" s="12">
        <v>46060</v>
      </c>
      <c r="G11" s="13">
        <v>46061</v>
      </c>
      <c r="H11" s="1"/>
      <c r="I11" s="20">
        <v>46083</v>
      </c>
      <c r="J11" s="21">
        <v>46084</v>
      </c>
      <c r="K11" s="21">
        <v>46085</v>
      </c>
      <c r="L11" s="21">
        <v>46086</v>
      </c>
      <c r="M11" s="21">
        <v>46087</v>
      </c>
      <c r="N11" s="21">
        <v>46088</v>
      </c>
      <c r="O11" s="22">
        <v>46089</v>
      </c>
    </row>
    <row r="12" spans="1: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0" thickBot="1" x14ac:dyDescent="0.3">
      <c r="A13" s="2" t="s">
        <v>28</v>
      </c>
      <c r="B13" s="47" t="s">
        <v>40</v>
      </c>
      <c r="C13" s="47"/>
      <c r="D13" s="47"/>
      <c r="E13" s="2" t="s">
        <v>30</v>
      </c>
      <c r="F13" s="47">
        <f>F3</f>
        <v>2026</v>
      </c>
      <c r="G13" s="47"/>
      <c r="H13" s="1"/>
      <c r="I13" s="2" t="s">
        <v>28</v>
      </c>
      <c r="J13" s="47" t="s">
        <v>41</v>
      </c>
      <c r="K13" s="47"/>
      <c r="L13" s="47"/>
      <c r="M13" s="2" t="s">
        <v>30</v>
      </c>
      <c r="N13" s="47">
        <f>F13</f>
        <v>2026</v>
      </c>
      <c r="O13" s="47"/>
    </row>
    <row r="14" spans="1:15" ht="21" x14ac:dyDescent="0.2">
      <c r="A14" s="48" t="s">
        <v>32</v>
      </c>
      <c r="B14" s="48"/>
      <c r="C14" s="48"/>
      <c r="D14" s="48"/>
      <c r="E14" s="48"/>
      <c r="F14" s="48"/>
      <c r="G14" s="48"/>
      <c r="H14" s="1"/>
      <c r="I14" s="48" t="s">
        <v>32</v>
      </c>
      <c r="J14" s="48"/>
      <c r="K14" s="48"/>
      <c r="L14" s="48"/>
      <c r="M14" s="48"/>
      <c r="N14" s="48"/>
      <c r="O14" s="48"/>
    </row>
    <row r="15" spans="1:15" ht="16" thickBot="1" x14ac:dyDescent="0.25">
      <c r="A15" s="3" t="s">
        <v>33</v>
      </c>
      <c r="B15" s="3" t="s">
        <v>34</v>
      </c>
      <c r="C15" s="3" t="s">
        <v>35</v>
      </c>
      <c r="D15" s="3" t="s">
        <v>36</v>
      </c>
      <c r="E15" s="3" t="s">
        <v>37</v>
      </c>
      <c r="F15" s="3" t="s">
        <v>38</v>
      </c>
      <c r="G15" s="3" t="s">
        <v>39</v>
      </c>
      <c r="H15" s="1"/>
      <c r="I15" s="3" t="s">
        <v>33</v>
      </c>
      <c r="J15" s="3" t="s">
        <v>34</v>
      </c>
      <c r="K15" s="3" t="s">
        <v>35</v>
      </c>
      <c r="L15" s="3" t="s">
        <v>36</v>
      </c>
      <c r="M15" s="3" t="s">
        <v>37</v>
      </c>
      <c r="N15" s="3" t="s">
        <v>38</v>
      </c>
      <c r="O15" s="3" t="s">
        <v>39</v>
      </c>
    </row>
    <row r="16" spans="1:15" x14ac:dyDescent="0.2">
      <c r="A16" s="4" cm="1">
        <f t="array" ref="A16:G21">_xlfn.SEQUENCE(6,7)+DATE(F13,MONTH(B13&amp;1),1)-WEEKDAY(DATE(F13,MONTH(B13&amp;1),1),2)</f>
        <v>46076</v>
      </c>
      <c r="B16" s="5">
        <v>46077</v>
      </c>
      <c r="C16" s="5">
        <v>46078</v>
      </c>
      <c r="D16" s="5">
        <v>46079</v>
      </c>
      <c r="E16" s="5">
        <v>46080</v>
      </c>
      <c r="F16" s="5">
        <v>46081</v>
      </c>
      <c r="G16" s="7">
        <v>46082</v>
      </c>
      <c r="H16" s="1"/>
      <c r="I16" s="14" cm="1">
        <f t="array" ref="I16:O21">_xlfn.SEQUENCE(6,7)+DATE(N13,MONTH(J13&amp;1),1)-WEEKDAY(DATE(N13,MONTH(J13&amp;1),1),2)</f>
        <v>46111</v>
      </c>
      <c r="J16" s="15">
        <v>46112</v>
      </c>
      <c r="K16" s="15">
        <v>46113</v>
      </c>
      <c r="L16" s="15">
        <v>46114</v>
      </c>
      <c r="M16" s="24">
        <v>46115</v>
      </c>
      <c r="N16" s="24">
        <v>46116</v>
      </c>
      <c r="O16" s="16">
        <v>46117</v>
      </c>
    </row>
    <row r="17" spans="1:15" x14ac:dyDescent="0.2">
      <c r="A17" s="8">
        <v>46083</v>
      </c>
      <c r="B17" s="9">
        <v>46084</v>
      </c>
      <c r="C17" s="9">
        <v>46085</v>
      </c>
      <c r="D17" s="9">
        <v>46086</v>
      </c>
      <c r="E17" s="9">
        <v>46087</v>
      </c>
      <c r="F17" s="9">
        <v>46088</v>
      </c>
      <c r="G17" s="10">
        <v>46089</v>
      </c>
      <c r="H17" s="1"/>
      <c r="I17" s="17">
        <v>46118</v>
      </c>
      <c r="J17" s="18">
        <v>46119</v>
      </c>
      <c r="K17" s="18">
        <v>46120</v>
      </c>
      <c r="L17" s="18">
        <v>46121</v>
      </c>
      <c r="M17" s="18">
        <v>46122</v>
      </c>
      <c r="N17" s="18">
        <v>46123</v>
      </c>
      <c r="O17" s="19">
        <v>46124</v>
      </c>
    </row>
    <row r="18" spans="1:15" x14ac:dyDescent="0.2">
      <c r="A18" s="8">
        <v>46090</v>
      </c>
      <c r="B18" s="9">
        <v>46091</v>
      </c>
      <c r="C18" s="9">
        <v>46092</v>
      </c>
      <c r="D18" s="9">
        <v>46093</v>
      </c>
      <c r="E18" s="9">
        <v>46094</v>
      </c>
      <c r="F18" s="9">
        <v>46095</v>
      </c>
      <c r="G18" s="10">
        <v>46096</v>
      </c>
      <c r="H18" s="1"/>
      <c r="I18" s="17">
        <v>46125</v>
      </c>
      <c r="J18" s="18">
        <v>46126</v>
      </c>
      <c r="K18" s="18">
        <v>46127</v>
      </c>
      <c r="L18" s="18">
        <v>46128</v>
      </c>
      <c r="M18" s="18">
        <v>46129</v>
      </c>
      <c r="N18" s="18">
        <v>46130</v>
      </c>
      <c r="O18" s="19">
        <v>46131</v>
      </c>
    </row>
    <row r="19" spans="1:15" x14ac:dyDescent="0.2">
      <c r="A19" s="8">
        <v>46097</v>
      </c>
      <c r="B19" s="9">
        <v>46098</v>
      </c>
      <c r="C19" s="9">
        <v>46099</v>
      </c>
      <c r="D19" s="9">
        <v>46100</v>
      </c>
      <c r="E19" s="9">
        <v>46101</v>
      </c>
      <c r="F19" s="9">
        <v>46102</v>
      </c>
      <c r="G19" s="10">
        <v>46103</v>
      </c>
      <c r="H19" s="1"/>
      <c r="I19" s="17">
        <v>46132</v>
      </c>
      <c r="J19" s="18">
        <v>46133</v>
      </c>
      <c r="K19" s="18">
        <v>46134</v>
      </c>
      <c r="L19" s="18">
        <v>46135</v>
      </c>
      <c r="M19" s="18">
        <v>46136</v>
      </c>
      <c r="N19" s="18">
        <v>46137</v>
      </c>
      <c r="O19" s="19">
        <v>46138</v>
      </c>
    </row>
    <row r="20" spans="1:15" x14ac:dyDescent="0.2">
      <c r="A20" s="8">
        <v>46104</v>
      </c>
      <c r="B20" s="9">
        <v>46105</v>
      </c>
      <c r="C20" s="9">
        <v>46106</v>
      </c>
      <c r="D20" s="9">
        <v>46107</v>
      </c>
      <c r="E20" s="9">
        <v>46108</v>
      </c>
      <c r="F20" s="9">
        <v>46109</v>
      </c>
      <c r="G20" s="10">
        <v>46110</v>
      </c>
      <c r="H20" s="1"/>
      <c r="I20" s="17">
        <v>46139</v>
      </c>
      <c r="J20" s="18">
        <v>46140</v>
      </c>
      <c r="K20" s="18">
        <v>46141</v>
      </c>
      <c r="L20" s="18">
        <v>46142</v>
      </c>
      <c r="M20" s="18">
        <v>46143</v>
      </c>
      <c r="N20" s="18">
        <v>46144</v>
      </c>
      <c r="O20" s="19">
        <v>46145</v>
      </c>
    </row>
    <row r="21" spans="1:15" ht="16" thickBot="1" x14ac:dyDescent="0.25">
      <c r="A21" s="11">
        <v>46111</v>
      </c>
      <c r="B21" s="12">
        <v>46112</v>
      </c>
      <c r="C21" s="12">
        <v>46113</v>
      </c>
      <c r="D21" s="12">
        <v>46114</v>
      </c>
      <c r="E21" s="12">
        <v>46115</v>
      </c>
      <c r="F21" s="12">
        <v>46116</v>
      </c>
      <c r="G21" s="13">
        <v>46117</v>
      </c>
      <c r="H21" s="1"/>
      <c r="I21" s="20">
        <v>46146</v>
      </c>
      <c r="J21" s="21">
        <v>46147</v>
      </c>
      <c r="K21" s="21">
        <v>46148</v>
      </c>
      <c r="L21" s="21">
        <v>46149</v>
      </c>
      <c r="M21" s="21">
        <v>46150</v>
      </c>
      <c r="N21" s="21">
        <v>46151</v>
      </c>
      <c r="O21" s="22">
        <v>46152</v>
      </c>
    </row>
    <row r="22" spans="1: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0" thickBot="1" x14ac:dyDescent="0.3">
      <c r="A23" s="2" t="s">
        <v>28</v>
      </c>
      <c r="B23" s="47" t="s">
        <v>42</v>
      </c>
      <c r="C23" s="47"/>
      <c r="D23" s="47"/>
      <c r="E23" s="2" t="s">
        <v>30</v>
      </c>
      <c r="F23" s="47">
        <f>F13</f>
        <v>2026</v>
      </c>
      <c r="G23" s="47"/>
      <c r="H23" s="1"/>
      <c r="I23" s="2" t="s">
        <v>28</v>
      </c>
      <c r="J23" s="47" t="s">
        <v>43</v>
      </c>
      <c r="K23" s="47"/>
      <c r="L23" s="47"/>
      <c r="M23" s="2" t="s">
        <v>30</v>
      </c>
      <c r="N23" s="47">
        <f>F23</f>
        <v>2026</v>
      </c>
      <c r="O23" s="47"/>
    </row>
    <row r="24" spans="1:15" ht="21" x14ac:dyDescent="0.2">
      <c r="A24" s="48" t="s">
        <v>32</v>
      </c>
      <c r="B24" s="48"/>
      <c r="C24" s="48"/>
      <c r="D24" s="48"/>
      <c r="E24" s="48"/>
      <c r="F24" s="48"/>
      <c r="G24" s="48"/>
      <c r="H24" s="1"/>
      <c r="I24" s="48" t="s">
        <v>32</v>
      </c>
      <c r="J24" s="48"/>
      <c r="K24" s="48"/>
      <c r="L24" s="48"/>
      <c r="M24" s="48"/>
      <c r="N24" s="48"/>
      <c r="O24" s="48"/>
    </row>
    <row r="25" spans="1:15" ht="16" thickBot="1" x14ac:dyDescent="0.25">
      <c r="A25" s="3" t="s">
        <v>33</v>
      </c>
      <c r="B25" s="3" t="s">
        <v>34</v>
      </c>
      <c r="C25" s="3" t="s">
        <v>35</v>
      </c>
      <c r="D25" s="3" t="s">
        <v>36</v>
      </c>
      <c r="E25" s="3" t="s">
        <v>37</v>
      </c>
      <c r="F25" s="3" t="s">
        <v>38</v>
      </c>
      <c r="G25" s="3" t="s">
        <v>39</v>
      </c>
      <c r="H25" s="1"/>
      <c r="I25" s="3" t="s">
        <v>33</v>
      </c>
      <c r="J25" s="3" t="s">
        <v>34</v>
      </c>
      <c r="K25" s="3" t="s">
        <v>35</v>
      </c>
      <c r="L25" s="3" t="s">
        <v>36</v>
      </c>
      <c r="M25" s="3" t="s">
        <v>37</v>
      </c>
      <c r="N25" s="3" t="s">
        <v>38</v>
      </c>
      <c r="O25" s="3" t="s">
        <v>39</v>
      </c>
    </row>
    <row r="26" spans="1:15" x14ac:dyDescent="0.2">
      <c r="A26" s="14" cm="1">
        <f t="array" ref="A26:G31">_xlfn.SEQUENCE(6,7)+DATE(F23,MONTH(B23&amp;1),1)-WEEKDAY(DATE(F23,MONTH(B23&amp;1),1),2)</f>
        <v>46139</v>
      </c>
      <c r="B26" s="15">
        <v>46140</v>
      </c>
      <c r="C26" s="18">
        <v>46141</v>
      </c>
      <c r="D26" s="18">
        <v>46142</v>
      </c>
      <c r="E26" s="23">
        <v>46143</v>
      </c>
      <c r="F26" s="18">
        <v>46144</v>
      </c>
      <c r="G26" s="16">
        <v>46145</v>
      </c>
      <c r="H26" s="1"/>
      <c r="I26" s="14" cm="1">
        <f t="array" ref="I26:O31">_xlfn.SEQUENCE(6,7)+DATE(N23,MONTH(J23&amp;1),1)-WEEKDAY(DATE(N23,MONTH(J23&amp;1),1),2)</f>
        <v>46174</v>
      </c>
      <c r="J26" s="15">
        <v>46175</v>
      </c>
      <c r="K26" s="15">
        <v>46176</v>
      </c>
      <c r="L26" s="15">
        <v>46177</v>
      </c>
      <c r="M26" s="15">
        <v>46178</v>
      </c>
      <c r="N26" s="15">
        <v>46179</v>
      </c>
      <c r="O26" s="16">
        <v>46180</v>
      </c>
    </row>
    <row r="27" spans="1:15" x14ac:dyDescent="0.2">
      <c r="A27" s="17">
        <v>46146</v>
      </c>
      <c r="B27" s="18">
        <v>46147</v>
      </c>
      <c r="C27" s="18">
        <v>46148</v>
      </c>
      <c r="D27" s="18">
        <v>46149</v>
      </c>
      <c r="E27" s="18">
        <v>46150</v>
      </c>
      <c r="F27" s="18">
        <v>46151</v>
      </c>
      <c r="G27" s="19">
        <v>46152</v>
      </c>
      <c r="H27" s="1"/>
      <c r="I27" s="17">
        <v>46181</v>
      </c>
      <c r="J27" s="18">
        <v>46182</v>
      </c>
      <c r="K27" s="18">
        <v>46183</v>
      </c>
      <c r="L27" s="18">
        <v>46184</v>
      </c>
      <c r="M27" s="18">
        <v>46185</v>
      </c>
      <c r="N27" s="18">
        <v>46186</v>
      </c>
      <c r="O27" s="18">
        <v>46187</v>
      </c>
    </row>
    <row r="28" spans="1:15" x14ac:dyDescent="0.2">
      <c r="A28" s="17">
        <v>46153</v>
      </c>
      <c r="B28" s="18">
        <v>46154</v>
      </c>
      <c r="C28" s="18">
        <v>46155</v>
      </c>
      <c r="D28" s="18">
        <v>46156</v>
      </c>
      <c r="E28" s="18">
        <v>46157</v>
      </c>
      <c r="F28" s="18">
        <v>46158</v>
      </c>
      <c r="G28" s="19">
        <v>46159</v>
      </c>
      <c r="H28" s="1"/>
      <c r="I28" s="17">
        <v>46188</v>
      </c>
      <c r="J28" s="18">
        <v>46189</v>
      </c>
      <c r="K28" s="18">
        <v>46190</v>
      </c>
      <c r="L28" s="18">
        <v>46191</v>
      </c>
      <c r="M28" s="18">
        <v>46192</v>
      </c>
      <c r="N28" s="18">
        <v>46193</v>
      </c>
      <c r="O28" s="23">
        <v>46194</v>
      </c>
    </row>
    <row r="29" spans="1:15" x14ac:dyDescent="0.2">
      <c r="A29" s="17">
        <v>46160</v>
      </c>
      <c r="B29" s="18">
        <v>46161</v>
      </c>
      <c r="C29" s="18">
        <v>46162</v>
      </c>
      <c r="D29" s="23">
        <v>46163</v>
      </c>
      <c r="E29" s="18">
        <v>46164</v>
      </c>
      <c r="F29" s="18">
        <v>46165</v>
      </c>
      <c r="G29" s="19">
        <v>46166</v>
      </c>
      <c r="H29" s="1"/>
      <c r="I29" s="17">
        <v>46195</v>
      </c>
      <c r="J29" s="18">
        <v>46196</v>
      </c>
      <c r="K29" s="18">
        <v>46197</v>
      </c>
      <c r="L29" s="18">
        <v>46198</v>
      </c>
      <c r="M29" s="18">
        <v>46199</v>
      </c>
      <c r="N29" s="18">
        <v>46200</v>
      </c>
      <c r="O29" s="18">
        <v>46201</v>
      </c>
    </row>
    <row r="30" spans="1:15" x14ac:dyDescent="0.2">
      <c r="A30" s="17">
        <v>46167</v>
      </c>
      <c r="B30" s="18">
        <v>46168</v>
      </c>
      <c r="C30" s="18">
        <v>46169</v>
      </c>
      <c r="D30" s="18">
        <v>46170</v>
      </c>
      <c r="E30" s="18">
        <v>46171</v>
      </c>
      <c r="F30" s="18">
        <v>46172</v>
      </c>
      <c r="G30" s="19">
        <v>46173</v>
      </c>
      <c r="H30" s="1"/>
      <c r="I30" s="26">
        <v>46202</v>
      </c>
      <c r="J30" s="18">
        <v>46203</v>
      </c>
      <c r="K30" s="18">
        <v>46204</v>
      </c>
      <c r="L30" s="18">
        <v>46205</v>
      </c>
      <c r="M30" s="18">
        <v>46206</v>
      </c>
      <c r="N30" s="18">
        <v>46207</v>
      </c>
      <c r="O30" s="18">
        <v>46208</v>
      </c>
    </row>
    <row r="31" spans="1:15" ht="16" thickBot="1" x14ac:dyDescent="0.25">
      <c r="A31" s="20">
        <v>46174</v>
      </c>
      <c r="B31" s="21">
        <v>46175</v>
      </c>
      <c r="C31" s="21">
        <v>46176</v>
      </c>
      <c r="D31" s="21">
        <v>46177</v>
      </c>
      <c r="E31" s="21">
        <v>46178</v>
      </c>
      <c r="F31" s="21">
        <v>46179</v>
      </c>
      <c r="G31" s="22">
        <v>46180</v>
      </c>
      <c r="H31" s="1"/>
      <c r="I31" s="20">
        <v>46209</v>
      </c>
      <c r="J31" s="21">
        <v>46210</v>
      </c>
      <c r="K31" s="21">
        <v>46211</v>
      </c>
      <c r="L31" s="18">
        <v>46212</v>
      </c>
      <c r="M31" s="18">
        <v>46213</v>
      </c>
      <c r="N31" s="18">
        <v>46214</v>
      </c>
      <c r="O31" s="18">
        <v>46215</v>
      </c>
    </row>
    <row r="32" spans="1: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0" thickBot="1" x14ac:dyDescent="0.3">
      <c r="A33" s="2" t="s">
        <v>28</v>
      </c>
      <c r="B33" s="47" t="s">
        <v>44</v>
      </c>
      <c r="C33" s="47"/>
      <c r="D33" s="47"/>
      <c r="E33" s="2" t="s">
        <v>30</v>
      </c>
      <c r="F33" s="47">
        <f>F3</f>
        <v>2026</v>
      </c>
      <c r="G33" s="47"/>
      <c r="H33" s="1"/>
      <c r="I33" s="2" t="s">
        <v>28</v>
      </c>
      <c r="J33" s="47" t="s">
        <v>45</v>
      </c>
      <c r="K33" s="47"/>
      <c r="L33" s="47"/>
      <c r="M33" s="2" t="s">
        <v>30</v>
      </c>
      <c r="N33" s="47">
        <f>F33</f>
        <v>2026</v>
      </c>
      <c r="O33" s="47"/>
    </row>
    <row r="34" spans="1:15" ht="21" x14ac:dyDescent="0.2">
      <c r="A34" s="48" t="s">
        <v>32</v>
      </c>
      <c r="B34" s="48"/>
      <c r="C34" s="48"/>
      <c r="D34" s="48"/>
      <c r="E34" s="48"/>
      <c r="F34" s="48"/>
      <c r="G34" s="48"/>
      <c r="H34" s="1"/>
      <c r="I34" s="48" t="s">
        <v>32</v>
      </c>
      <c r="J34" s="48"/>
      <c r="K34" s="48"/>
      <c r="L34" s="48"/>
      <c r="M34" s="48"/>
      <c r="N34" s="48"/>
      <c r="O34" s="48"/>
    </row>
    <row r="35" spans="1:15" ht="16" thickBot="1" x14ac:dyDescent="0.25">
      <c r="A35" s="3" t="s">
        <v>33</v>
      </c>
      <c r="B35" s="3" t="s">
        <v>34</v>
      </c>
      <c r="C35" s="3" t="s">
        <v>35</v>
      </c>
      <c r="D35" s="3" t="s">
        <v>36</v>
      </c>
      <c r="E35" s="3" t="s">
        <v>37</v>
      </c>
      <c r="F35" s="3" t="s">
        <v>38</v>
      </c>
      <c r="G35" s="3" t="s">
        <v>39</v>
      </c>
      <c r="H35" s="1"/>
      <c r="I35" s="3" t="s">
        <v>33</v>
      </c>
      <c r="J35" s="3" t="s">
        <v>34</v>
      </c>
      <c r="K35" s="3" t="s">
        <v>35</v>
      </c>
      <c r="L35" s="3" t="s">
        <v>36</v>
      </c>
      <c r="M35" s="3" t="s">
        <v>37</v>
      </c>
      <c r="N35" s="3" t="s">
        <v>38</v>
      </c>
      <c r="O35" s="3" t="s">
        <v>39</v>
      </c>
    </row>
    <row r="36" spans="1:15" x14ac:dyDescent="0.2">
      <c r="A36" s="14" cm="1">
        <f t="array" ref="A36:G41">_xlfn.SEQUENCE(6,7)+DATE(F33,MONTH(B33&amp;1),1)-WEEKDAY(DATE(F33,MONTH(B33&amp;1),1),2)</f>
        <v>46202</v>
      </c>
      <c r="B36" s="15">
        <v>46203</v>
      </c>
      <c r="C36" s="15">
        <v>46204</v>
      </c>
      <c r="D36" s="15">
        <v>46205</v>
      </c>
      <c r="E36" s="15">
        <v>46206</v>
      </c>
      <c r="F36" s="15">
        <v>46207</v>
      </c>
      <c r="G36" s="16">
        <v>46208</v>
      </c>
      <c r="H36" s="1"/>
      <c r="I36" s="14" cm="1">
        <f t="array" ref="I36:O41">_xlfn.SEQUENCE(6,7)+DATE(N33,MONTH(J33&amp;1),1)-WEEKDAY(DATE(N33,MONTH(J33&amp;1),1),2)</f>
        <v>46230</v>
      </c>
      <c r="J36" s="15">
        <v>46231</v>
      </c>
      <c r="K36" s="15">
        <v>46232</v>
      </c>
      <c r="L36" s="15">
        <v>46233</v>
      </c>
      <c r="M36" s="15">
        <v>46234</v>
      </c>
      <c r="N36" s="15">
        <v>46235</v>
      </c>
      <c r="O36" s="16">
        <v>46236</v>
      </c>
    </row>
    <row r="37" spans="1:15" x14ac:dyDescent="0.2">
      <c r="A37" s="17">
        <v>46209</v>
      </c>
      <c r="B37" s="18">
        <v>46210</v>
      </c>
      <c r="C37" s="18">
        <v>46211</v>
      </c>
      <c r="D37" s="18">
        <v>46212</v>
      </c>
      <c r="E37" s="18">
        <v>46213</v>
      </c>
      <c r="F37" s="18">
        <v>46214</v>
      </c>
      <c r="G37" s="19">
        <v>46215</v>
      </c>
      <c r="H37" s="1"/>
      <c r="I37" s="17">
        <v>46237</v>
      </c>
      <c r="J37" s="18">
        <v>46238</v>
      </c>
      <c r="K37" s="18">
        <v>46239</v>
      </c>
      <c r="L37" s="18">
        <v>46240</v>
      </c>
      <c r="M37" s="18">
        <v>46241</v>
      </c>
      <c r="N37" s="18">
        <v>46242</v>
      </c>
      <c r="O37" s="19">
        <v>46243</v>
      </c>
    </row>
    <row r="38" spans="1:15" x14ac:dyDescent="0.2">
      <c r="A38" s="17">
        <v>46216</v>
      </c>
      <c r="B38" s="18">
        <v>46217</v>
      </c>
      <c r="C38" s="18">
        <v>46218</v>
      </c>
      <c r="D38" s="23">
        <v>46219</v>
      </c>
      <c r="E38" s="18">
        <v>46220</v>
      </c>
      <c r="F38" s="18">
        <v>46221</v>
      </c>
      <c r="G38" s="19">
        <v>46222</v>
      </c>
      <c r="H38" s="1"/>
      <c r="I38" s="17">
        <v>46244</v>
      </c>
      <c r="J38" s="18">
        <v>46245</v>
      </c>
      <c r="K38" s="18">
        <v>46246</v>
      </c>
      <c r="L38" s="18">
        <v>46247</v>
      </c>
      <c r="M38" s="18">
        <v>46248</v>
      </c>
      <c r="N38" s="23">
        <v>46249</v>
      </c>
      <c r="O38" s="19">
        <v>46250</v>
      </c>
    </row>
    <row r="39" spans="1:15" x14ac:dyDescent="0.2">
      <c r="A39" s="17">
        <v>46223</v>
      </c>
      <c r="B39" s="18">
        <v>46224</v>
      </c>
      <c r="C39" s="18">
        <v>46225</v>
      </c>
      <c r="D39" s="18">
        <v>46226</v>
      </c>
      <c r="E39" s="18">
        <v>46227</v>
      </c>
      <c r="F39" s="18">
        <v>46228</v>
      </c>
      <c r="G39" s="19">
        <v>46229</v>
      </c>
      <c r="H39" s="1"/>
      <c r="I39" s="17">
        <v>46251</v>
      </c>
      <c r="J39" s="18">
        <v>46252</v>
      </c>
      <c r="K39" s="18">
        <v>46253</v>
      </c>
      <c r="L39" s="18">
        <v>46254</v>
      </c>
      <c r="M39" s="18">
        <v>46255</v>
      </c>
      <c r="N39" s="18">
        <v>46256</v>
      </c>
      <c r="O39" s="19">
        <v>46257</v>
      </c>
    </row>
    <row r="40" spans="1:15" x14ac:dyDescent="0.2">
      <c r="A40" s="17">
        <v>46230</v>
      </c>
      <c r="B40" s="18">
        <v>46231</v>
      </c>
      <c r="C40" s="18">
        <v>46232</v>
      </c>
      <c r="D40" s="18">
        <v>46233</v>
      </c>
      <c r="E40" s="18">
        <v>46234</v>
      </c>
      <c r="F40" s="18">
        <v>46235</v>
      </c>
      <c r="G40" s="19">
        <v>46236</v>
      </c>
      <c r="H40" s="1"/>
      <c r="I40" s="17">
        <v>46258</v>
      </c>
      <c r="J40" s="18">
        <v>46259</v>
      </c>
      <c r="K40" s="18">
        <v>46260</v>
      </c>
      <c r="L40" s="18">
        <v>46261</v>
      </c>
      <c r="M40" s="18">
        <v>46262</v>
      </c>
      <c r="N40" s="18">
        <v>46263</v>
      </c>
      <c r="O40" s="19">
        <v>46264</v>
      </c>
    </row>
    <row r="41" spans="1:15" ht="16" thickBot="1" x14ac:dyDescent="0.25">
      <c r="A41" s="20">
        <v>46237</v>
      </c>
      <c r="B41" s="21">
        <v>46238</v>
      </c>
      <c r="C41" s="21">
        <v>46239</v>
      </c>
      <c r="D41" s="21">
        <v>46240</v>
      </c>
      <c r="E41" s="21">
        <v>46241</v>
      </c>
      <c r="F41" s="21">
        <v>46242</v>
      </c>
      <c r="G41" s="22">
        <v>46243</v>
      </c>
      <c r="H41" s="1"/>
      <c r="I41" s="20">
        <v>46265</v>
      </c>
      <c r="J41" s="21">
        <v>46266</v>
      </c>
      <c r="K41" s="21">
        <v>46267</v>
      </c>
      <c r="L41" s="21">
        <v>46268</v>
      </c>
      <c r="M41" s="21">
        <v>46269</v>
      </c>
      <c r="N41" s="21">
        <v>46270</v>
      </c>
      <c r="O41" s="22">
        <v>46271</v>
      </c>
    </row>
    <row r="42" spans="1:1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20" thickBot="1" x14ac:dyDescent="0.3">
      <c r="A43" s="2" t="s">
        <v>28</v>
      </c>
      <c r="B43" s="47" t="s">
        <v>46</v>
      </c>
      <c r="C43" s="47"/>
      <c r="D43" s="47"/>
      <c r="E43" s="2" t="s">
        <v>30</v>
      </c>
      <c r="F43" s="47">
        <f>F13</f>
        <v>2026</v>
      </c>
      <c r="G43" s="47"/>
      <c r="H43" s="1"/>
      <c r="I43" s="2" t="s">
        <v>28</v>
      </c>
      <c r="J43" s="47" t="s">
        <v>47</v>
      </c>
      <c r="K43" s="47"/>
      <c r="L43" s="47"/>
      <c r="M43" s="2" t="s">
        <v>30</v>
      </c>
      <c r="N43" s="47">
        <f>F43</f>
        <v>2026</v>
      </c>
      <c r="O43" s="47"/>
    </row>
    <row r="44" spans="1:15" ht="21" x14ac:dyDescent="0.2">
      <c r="A44" s="48" t="s">
        <v>32</v>
      </c>
      <c r="B44" s="48"/>
      <c r="C44" s="48"/>
      <c r="D44" s="48"/>
      <c r="E44" s="48"/>
      <c r="F44" s="48"/>
      <c r="G44" s="48"/>
      <c r="H44" s="1"/>
      <c r="I44" s="48" t="s">
        <v>32</v>
      </c>
      <c r="J44" s="48"/>
      <c r="K44" s="48"/>
      <c r="L44" s="48"/>
      <c r="M44" s="48"/>
      <c r="N44" s="48"/>
      <c r="O44" s="48"/>
    </row>
    <row r="45" spans="1:15" ht="16" thickBot="1" x14ac:dyDescent="0.25">
      <c r="A45" s="3" t="s">
        <v>33</v>
      </c>
      <c r="B45" s="3" t="s">
        <v>34</v>
      </c>
      <c r="C45" s="3" t="s">
        <v>35</v>
      </c>
      <c r="D45" s="3" t="s">
        <v>36</v>
      </c>
      <c r="E45" s="3" t="s">
        <v>37</v>
      </c>
      <c r="F45" s="3" t="s">
        <v>38</v>
      </c>
      <c r="G45" s="3" t="s">
        <v>39</v>
      </c>
      <c r="H45" s="1"/>
      <c r="I45" s="3" t="s">
        <v>33</v>
      </c>
      <c r="J45" s="3" t="s">
        <v>34</v>
      </c>
      <c r="K45" s="3" t="s">
        <v>35</v>
      </c>
      <c r="L45" s="3" t="s">
        <v>36</v>
      </c>
      <c r="M45" s="3" t="s">
        <v>37</v>
      </c>
      <c r="N45" s="3" t="s">
        <v>38</v>
      </c>
      <c r="O45" s="3" t="s">
        <v>39</v>
      </c>
    </row>
    <row r="46" spans="1:15" x14ac:dyDescent="0.2">
      <c r="A46" s="14" cm="1">
        <f t="array" ref="A46:G51">_xlfn.SEQUENCE(6,7)+DATE(F43,MONTH(B43&amp;1),1)-WEEKDAY(DATE(F43,MONTH(B43&amp;1),1),2)</f>
        <v>46265</v>
      </c>
      <c r="B46" s="15">
        <v>46266</v>
      </c>
      <c r="C46" s="15">
        <v>46267</v>
      </c>
      <c r="D46" s="15">
        <v>46268</v>
      </c>
      <c r="E46" s="15">
        <v>46269</v>
      </c>
      <c r="F46" s="15">
        <v>46270</v>
      </c>
      <c r="G46" s="16">
        <v>46271</v>
      </c>
      <c r="H46" s="1"/>
      <c r="I46" s="18" cm="1">
        <f t="array" ref="I46:O51">_xlfn.SEQUENCE(6,7)+DATE(N43,MONTH(J43&amp;1),1)-WEEKDAY(DATE(N43,MONTH(J43&amp;1),1),2)</f>
        <v>46293</v>
      </c>
      <c r="J46" s="18">
        <v>46294</v>
      </c>
      <c r="K46" s="18">
        <v>46295</v>
      </c>
      <c r="L46" s="18">
        <v>46296</v>
      </c>
      <c r="M46" s="18">
        <v>46297</v>
      </c>
      <c r="N46" s="18">
        <v>46298</v>
      </c>
      <c r="O46" s="18">
        <v>46299</v>
      </c>
    </row>
    <row r="47" spans="1:15" x14ac:dyDescent="0.2">
      <c r="A47" s="17">
        <v>46272</v>
      </c>
      <c r="B47" s="18">
        <v>46273</v>
      </c>
      <c r="C47" s="18">
        <v>46274</v>
      </c>
      <c r="D47" s="18">
        <v>46275</v>
      </c>
      <c r="E47" s="18">
        <v>46276</v>
      </c>
      <c r="F47" s="18">
        <v>46277</v>
      </c>
      <c r="G47" s="19">
        <v>46278</v>
      </c>
      <c r="H47" s="1"/>
      <c r="I47" s="18">
        <v>46300</v>
      </c>
      <c r="J47" s="18">
        <v>46301</v>
      </c>
      <c r="K47" s="18">
        <v>46302</v>
      </c>
      <c r="L47" s="18">
        <v>46303</v>
      </c>
      <c r="M47" s="18">
        <v>46304</v>
      </c>
      <c r="N47" s="18">
        <v>46305</v>
      </c>
      <c r="O47" s="18">
        <v>46306</v>
      </c>
    </row>
    <row r="48" spans="1:15" x14ac:dyDescent="0.2">
      <c r="A48" s="17">
        <v>46279</v>
      </c>
      <c r="B48" s="18">
        <v>46280</v>
      </c>
      <c r="C48" s="18">
        <v>46281</v>
      </c>
      <c r="D48" s="18">
        <v>46282</v>
      </c>
      <c r="E48" s="23">
        <v>46283</v>
      </c>
      <c r="F48" s="23">
        <v>46284</v>
      </c>
      <c r="G48" s="19">
        <v>46285</v>
      </c>
      <c r="H48" s="1"/>
      <c r="I48" s="23">
        <v>46307</v>
      </c>
      <c r="J48" s="18">
        <v>46308</v>
      </c>
      <c r="K48" s="18">
        <v>46309</v>
      </c>
      <c r="L48" s="18">
        <v>46310</v>
      </c>
      <c r="M48" s="18">
        <v>46311</v>
      </c>
      <c r="N48" s="18">
        <v>46312</v>
      </c>
      <c r="O48" s="18">
        <v>46313</v>
      </c>
    </row>
    <row r="49" spans="1:15" x14ac:dyDescent="0.2">
      <c r="A49" s="17">
        <v>46286</v>
      </c>
      <c r="B49" s="18">
        <v>46287</v>
      </c>
      <c r="C49" s="18">
        <v>46288</v>
      </c>
      <c r="D49" s="18">
        <v>46289</v>
      </c>
      <c r="E49" s="18">
        <v>46290</v>
      </c>
      <c r="F49" s="18">
        <v>46291</v>
      </c>
      <c r="G49" s="19">
        <v>46292</v>
      </c>
      <c r="H49" s="1"/>
      <c r="I49" s="18">
        <v>46314</v>
      </c>
      <c r="J49" s="18">
        <v>46315</v>
      </c>
      <c r="K49" s="18">
        <v>46316</v>
      </c>
      <c r="L49" s="18">
        <v>46317</v>
      </c>
      <c r="M49" s="18">
        <v>46318</v>
      </c>
      <c r="N49" s="18">
        <v>46319</v>
      </c>
      <c r="O49" s="18">
        <v>46320</v>
      </c>
    </row>
    <row r="50" spans="1:15" x14ac:dyDescent="0.2">
      <c r="A50" s="17">
        <v>46293</v>
      </c>
      <c r="B50" s="18">
        <v>46294</v>
      </c>
      <c r="C50" s="18">
        <v>46295</v>
      </c>
      <c r="D50" s="18">
        <v>46296</v>
      </c>
      <c r="E50" s="18">
        <v>46297</v>
      </c>
      <c r="F50" s="18">
        <v>46298</v>
      </c>
      <c r="G50" s="19">
        <v>46299</v>
      </c>
      <c r="H50" s="1"/>
      <c r="I50" s="18">
        <v>46321</v>
      </c>
      <c r="J50" s="18">
        <v>46322</v>
      </c>
      <c r="K50" s="18">
        <v>46323</v>
      </c>
      <c r="L50" s="18">
        <v>46324</v>
      </c>
      <c r="M50" s="18">
        <v>46325</v>
      </c>
      <c r="N50" s="23">
        <v>46326</v>
      </c>
      <c r="O50" s="18">
        <v>46327</v>
      </c>
    </row>
    <row r="51" spans="1:15" ht="16" thickBot="1" x14ac:dyDescent="0.25">
      <c r="A51" s="20">
        <v>46300</v>
      </c>
      <c r="B51" s="21">
        <v>46301</v>
      </c>
      <c r="C51" s="21">
        <v>46302</v>
      </c>
      <c r="D51" s="21">
        <v>46303</v>
      </c>
      <c r="E51" s="21">
        <v>46304</v>
      </c>
      <c r="F51" s="21">
        <v>46305</v>
      </c>
      <c r="G51" s="22">
        <v>46306</v>
      </c>
      <c r="H51" s="1"/>
      <c r="I51" s="18">
        <v>46328</v>
      </c>
      <c r="J51" s="18">
        <v>46329</v>
      </c>
      <c r="K51" s="18">
        <v>46330</v>
      </c>
      <c r="L51" s="18">
        <v>46331</v>
      </c>
      <c r="M51" s="18">
        <v>46332</v>
      </c>
      <c r="N51" s="18">
        <v>46333</v>
      </c>
      <c r="O51" s="18">
        <v>46334</v>
      </c>
    </row>
    <row r="52" spans="1:1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20" thickBot="1" x14ac:dyDescent="0.3">
      <c r="A53" s="2" t="s">
        <v>28</v>
      </c>
      <c r="B53" s="47" t="s">
        <v>48</v>
      </c>
      <c r="C53" s="47"/>
      <c r="D53" s="47"/>
      <c r="E53" s="2" t="s">
        <v>30</v>
      </c>
      <c r="F53" s="47">
        <f>F23</f>
        <v>2026</v>
      </c>
      <c r="G53" s="47"/>
      <c r="H53" s="1"/>
      <c r="I53" s="2" t="s">
        <v>28</v>
      </c>
      <c r="J53" s="47" t="s">
        <v>49</v>
      </c>
      <c r="K53" s="47"/>
      <c r="L53" s="47"/>
      <c r="M53" s="2" t="s">
        <v>30</v>
      </c>
      <c r="N53" s="47">
        <f>F53</f>
        <v>2026</v>
      </c>
      <c r="O53" s="47"/>
    </row>
    <row r="54" spans="1:15" ht="21" x14ac:dyDescent="0.2">
      <c r="A54" s="48" t="s">
        <v>32</v>
      </c>
      <c r="B54" s="48"/>
      <c r="C54" s="48"/>
      <c r="D54" s="48"/>
      <c r="E54" s="48"/>
      <c r="F54" s="48"/>
      <c r="G54" s="48"/>
      <c r="H54" s="1"/>
      <c r="I54" s="48" t="s">
        <v>32</v>
      </c>
      <c r="J54" s="48"/>
      <c r="K54" s="48"/>
      <c r="L54" s="48"/>
      <c r="M54" s="48"/>
      <c r="N54" s="48"/>
      <c r="O54" s="48"/>
    </row>
    <row r="55" spans="1:15" ht="16" thickBot="1" x14ac:dyDescent="0.25">
      <c r="A55" s="3" t="s">
        <v>33</v>
      </c>
      <c r="B55" s="3" t="s">
        <v>34</v>
      </c>
      <c r="C55" s="3" t="s">
        <v>35</v>
      </c>
      <c r="D55" s="3" t="s">
        <v>36</v>
      </c>
      <c r="E55" s="3" t="s">
        <v>37</v>
      </c>
      <c r="F55" s="3" t="s">
        <v>38</v>
      </c>
      <c r="G55" s="3" t="s">
        <v>39</v>
      </c>
      <c r="H55" s="27"/>
      <c r="I55" s="3" t="s">
        <v>33</v>
      </c>
      <c r="J55" s="3" t="s">
        <v>34</v>
      </c>
      <c r="K55" s="3" t="s">
        <v>35</v>
      </c>
      <c r="L55" s="3" t="s">
        <v>36</v>
      </c>
      <c r="M55" s="3" t="s">
        <v>37</v>
      </c>
      <c r="N55" s="3" t="s">
        <v>38</v>
      </c>
      <c r="O55" s="3" t="s">
        <v>39</v>
      </c>
    </row>
    <row r="56" spans="1:15" x14ac:dyDescent="0.2">
      <c r="A56" s="14" cm="1">
        <f t="array" ref="A56:G61">_xlfn.SEQUENCE(6,7)+DATE(F53,MONTH(B53&amp;1),1)-WEEKDAY(DATE(F53,MONTH(B53&amp;1),1),2)</f>
        <v>46321</v>
      </c>
      <c r="B56" s="15">
        <v>46322</v>
      </c>
      <c r="C56" s="18">
        <v>46323</v>
      </c>
      <c r="D56" s="18">
        <v>46324</v>
      </c>
      <c r="E56" s="18">
        <v>46325</v>
      </c>
      <c r="F56" s="18">
        <v>46326</v>
      </c>
      <c r="G56" s="23">
        <v>46327</v>
      </c>
      <c r="H56" s="1"/>
      <c r="I56" s="18" cm="1">
        <f t="array" ref="I56:O61">_xlfn.SEQUENCE(6,7)+DATE(N53,MONTH(J53&amp;1),1)-WEEKDAY(DATE(N53,MONTH(J53&amp;1),1),2)</f>
        <v>46356</v>
      </c>
      <c r="J56" s="18">
        <v>46357</v>
      </c>
      <c r="K56" s="18">
        <v>46358</v>
      </c>
      <c r="L56" s="18">
        <v>46359</v>
      </c>
      <c r="M56" s="18">
        <v>46360</v>
      </c>
      <c r="N56" s="18">
        <v>46361</v>
      </c>
      <c r="O56" s="18">
        <v>46362</v>
      </c>
    </row>
    <row r="57" spans="1:15" x14ac:dyDescent="0.2">
      <c r="A57" s="17">
        <v>46328</v>
      </c>
      <c r="B57" s="18">
        <v>46329</v>
      </c>
      <c r="C57" s="18">
        <v>46330</v>
      </c>
      <c r="D57" s="18">
        <v>46331</v>
      </c>
      <c r="E57" s="18">
        <v>46332</v>
      </c>
      <c r="F57" s="18">
        <v>46333</v>
      </c>
      <c r="G57" s="18">
        <v>46334</v>
      </c>
      <c r="H57" s="1"/>
      <c r="I57" s="18">
        <v>46363</v>
      </c>
      <c r="J57" s="23">
        <v>46364</v>
      </c>
      <c r="K57" s="18">
        <v>46365</v>
      </c>
      <c r="L57" s="18">
        <v>46366</v>
      </c>
      <c r="M57" s="18">
        <v>46367</v>
      </c>
      <c r="N57" s="18">
        <v>46368</v>
      </c>
      <c r="O57" s="18">
        <v>46369</v>
      </c>
    </row>
    <row r="58" spans="1:15" x14ac:dyDescent="0.2">
      <c r="A58" s="17">
        <v>46335</v>
      </c>
      <c r="B58" s="18">
        <v>46336</v>
      </c>
      <c r="C58" s="18">
        <v>46337</v>
      </c>
      <c r="D58" s="18">
        <v>46338</v>
      </c>
      <c r="E58" s="18">
        <v>46339</v>
      </c>
      <c r="F58" s="18">
        <v>46340</v>
      </c>
      <c r="G58" s="18">
        <v>46341</v>
      </c>
      <c r="H58" s="1"/>
      <c r="I58" s="18">
        <v>46370</v>
      </c>
      <c r="J58" s="18">
        <v>46371</v>
      </c>
      <c r="K58" s="18">
        <v>46372</v>
      </c>
      <c r="L58" s="18">
        <v>46373</v>
      </c>
      <c r="M58" s="18">
        <v>46374</v>
      </c>
      <c r="N58" s="18">
        <v>46375</v>
      </c>
      <c r="O58" s="18">
        <v>46376</v>
      </c>
    </row>
    <row r="59" spans="1:15" x14ac:dyDescent="0.2">
      <c r="A59" s="17">
        <v>46342</v>
      </c>
      <c r="B59" s="18">
        <v>46343</v>
      </c>
      <c r="C59" s="18">
        <v>46344</v>
      </c>
      <c r="D59" s="18">
        <v>46345</v>
      </c>
      <c r="E59" s="18">
        <v>46346</v>
      </c>
      <c r="F59" s="18">
        <v>46347</v>
      </c>
      <c r="G59" s="18">
        <v>46348</v>
      </c>
      <c r="H59" s="1"/>
      <c r="I59" s="18">
        <v>46377</v>
      </c>
      <c r="J59" s="18">
        <v>46378</v>
      </c>
      <c r="K59" s="18">
        <v>46379</v>
      </c>
      <c r="L59" s="18">
        <v>46380</v>
      </c>
      <c r="M59" s="28">
        <v>46381</v>
      </c>
      <c r="N59" s="18">
        <v>46382</v>
      </c>
      <c r="O59" s="18">
        <v>46383</v>
      </c>
    </row>
    <row r="60" spans="1:15" x14ac:dyDescent="0.2">
      <c r="A60" s="17">
        <v>46349</v>
      </c>
      <c r="B60" s="18">
        <v>46350</v>
      </c>
      <c r="C60" s="18">
        <v>46351</v>
      </c>
      <c r="D60" s="18">
        <v>46352</v>
      </c>
      <c r="E60" s="18">
        <v>46353</v>
      </c>
      <c r="F60" s="18">
        <v>46354</v>
      </c>
      <c r="G60" s="18">
        <v>46355</v>
      </c>
      <c r="H60" s="1"/>
      <c r="I60" s="18">
        <v>46384</v>
      </c>
      <c r="J60" s="18">
        <v>46385</v>
      </c>
      <c r="K60" s="18">
        <v>46386</v>
      </c>
      <c r="L60" s="18">
        <v>46387</v>
      </c>
      <c r="M60" s="18">
        <v>46388</v>
      </c>
      <c r="N60" s="18">
        <v>46389</v>
      </c>
      <c r="O60" s="18">
        <v>46390</v>
      </c>
    </row>
    <row r="61" spans="1:15" ht="16" thickBot="1" x14ac:dyDescent="0.25">
      <c r="A61" s="20">
        <v>46356</v>
      </c>
      <c r="B61" s="21">
        <v>46357</v>
      </c>
      <c r="C61" s="18">
        <v>46358</v>
      </c>
      <c r="D61" s="18">
        <v>46359</v>
      </c>
      <c r="E61" s="18">
        <v>46360</v>
      </c>
      <c r="F61" s="18">
        <v>46361</v>
      </c>
      <c r="G61" s="18">
        <v>46362</v>
      </c>
      <c r="H61" s="1"/>
      <c r="I61" s="18">
        <v>46391</v>
      </c>
      <c r="J61" s="18">
        <v>46392</v>
      </c>
      <c r="K61" s="18">
        <v>46393</v>
      </c>
      <c r="L61" s="18">
        <v>46394</v>
      </c>
      <c r="M61" s="18">
        <v>46395</v>
      </c>
      <c r="N61" s="18">
        <v>46396</v>
      </c>
      <c r="O61" s="18">
        <v>46397</v>
      </c>
    </row>
    <row r="62" spans="1: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</sheetData>
  <mergeCells count="36">
    <mergeCell ref="B53:D53"/>
    <mergeCell ref="F53:G53"/>
    <mergeCell ref="J53:L53"/>
    <mergeCell ref="N53:O53"/>
    <mergeCell ref="A54:G54"/>
    <mergeCell ref="I54:O54"/>
    <mergeCell ref="B43:D43"/>
    <mergeCell ref="F43:G43"/>
    <mergeCell ref="J43:L43"/>
    <mergeCell ref="N43:O43"/>
    <mergeCell ref="A44:G44"/>
    <mergeCell ref="I44:O44"/>
    <mergeCell ref="B33:D33"/>
    <mergeCell ref="F33:G33"/>
    <mergeCell ref="J33:L33"/>
    <mergeCell ref="N33:O33"/>
    <mergeCell ref="A34:G34"/>
    <mergeCell ref="I34:O34"/>
    <mergeCell ref="B23:D23"/>
    <mergeCell ref="F23:G23"/>
    <mergeCell ref="J23:L23"/>
    <mergeCell ref="N23:O23"/>
    <mergeCell ref="A24:G24"/>
    <mergeCell ref="I24:O24"/>
    <mergeCell ref="B13:D13"/>
    <mergeCell ref="F13:G13"/>
    <mergeCell ref="J13:L13"/>
    <mergeCell ref="N13:O13"/>
    <mergeCell ref="A14:G14"/>
    <mergeCell ref="I14:O14"/>
    <mergeCell ref="B3:D3"/>
    <mergeCell ref="F3:G3"/>
    <mergeCell ref="J3:L3"/>
    <mergeCell ref="N3:O3"/>
    <mergeCell ref="A4:G4"/>
    <mergeCell ref="I4:O4"/>
  </mergeCells>
  <conditionalFormatting sqref="A6:G11">
    <cfRule type="expression" dxfId="11" priority="6">
      <formula>MONTH($B$3&amp;1)&lt;&gt;MONTH(A6)</formula>
    </cfRule>
  </conditionalFormatting>
  <conditionalFormatting sqref="A16:G21">
    <cfRule type="expression" dxfId="10" priority="5">
      <formula>MONTH($B$13&amp;1)&lt;&gt;MONTH(A16)</formula>
    </cfRule>
  </conditionalFormatting>
  <conditionalFormatting sqref="A26:G31">
    <cfRule type="expression" dxfId="9" priority="2">
      <formula>MONTH($B$23&amp;1)&lt;&gt;MONTH(A26)</formula>
    </cfRule>
  </conditionalFormatting>
  <conditionalFormatting sqref="A36:G41">
    <cfRule type="expression" dxfId="8" priority="12">
      <formula>MONTH($B$33&amp;1)&lt;&gt;MONTH(A36)</formula>
    </cfRule>
  </conditionalFormatting>
  <conditionalFormatting sqref="A46:G51">
    <cfRule type="expression" dxfId="7" priority="11">
      <formula>MONTH($B$43&amp;1)&lt;&gt;MONTH(A46)</formula>
    </cfRule>
  </conditionalFormatting>
  <conditionalFormatting sqref="A56:G61">
    <cfRule type="expression" dxfId="6" priority="10">
      <formula>MONTH($B$53&amp;1)&lt;&gt;MONTH(A56)</formula>
    </cfRule>
  </conditionalFormatting>
  <conditionalFormatting sqref="I6:O11">
    <cfRule type="expression" dxfId="5" priority="4">
      <formula>MONTH($J$3&amp;1)&lt;&gt;MONTH(I6)</formula>
    </cfRule>
  </conditionalFormatting>
  <conditionalFormatting sqref="I16:O21">
    <cfRule type="expression" dxfId="4" priority="3">
      <formula>MONTH($J$13&amp;1)&lt;&gt;MONTH(I16)</formula>
    </cfRule>
  </conditionalFormatting>
  <conditionalFormatting sqref="I26:O31">
    <cfRule type="expression" dxfId="3" priority="1">
      <formula>MONTH($J$23&amp;1)&lt;&gt;MONTH(I26)</formula>
    </cfRule>
  </conditionalFormatting>
  <conditionalFormatting sqref="I36:O41">
    <cfRule type="expression" dxfId="2" priority="9">
      <formula>MONTH($J$33&amp;1)&lt;&gt;MONTH(I36)</formula>
    </cfRule>
  </conditionalFormatting>
  <conditionalFormatting sqref="I46:O51">
    <cfRule type="expression" dxfId="1" priority="8">
      <formula>MONTH($J$43&amp;1)&lt;&gt;MONTH(I46)</formula>
    </cfRule>
  </conditionalFormatting>
  <conditionalFormatting sqref="I56:O61">
    <cfRule type="expression" dxfId="0" priority="7">
      <formula>MONTH($J$53&amp;1)&lt;&gt;MONTH(I56)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ce3fd1-e9e7-4e5e-b11d-81631a76918c" xsi:nil="true"/>
    <lcf76f155ced4ddcb4097134ff3c332f xmlns="3cdc491e-f344-4c25-9a4f-58b3c4fe13e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EFA377AB145E4B9F36D68B06EC540D" ma:contentTypeVersion="14" ma:contentTypeDescription="Crear nuevo documento." ma:contentTypeScope="" ma:versionID="a2de691e5fe4891cf249415e346b069d">
  <xsd:schema xmlns:xsd="http://www.w3.org/2001/XMLSchema" xmlns:xs="http://www.w3.org/2001/XMLSchema" xmlns:p="http://schemas.microsoft.com/office/2006/metadata/properties" xmlns:ns2="3cdc491e-f344-4c25-9a4f-58b3c4fe13e0" xmlns:ns3="f4ce3fd1-e9e7-4e5e-b11d-81631a76918c" targetNamespace="http://schemas.microsoft.com/office/2006/metadata/properties" ma:root="true" ma:fieldsID="137c065619cccde23d75dae4f5b9799b" ns2:_="" ns3:_="">
    <xsd:import namespace="3cdc491e-f344-4c25-9a4f-58b3c4fe13e0"/>
    <xsd:import namespace="f4ce3fd1-e9e7-4e5e-b11d-81631a7691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c491e-f344-4c25-9a4f-58b3c4fe13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27909f14-ac44-4fa4-af16-33738d617f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e3fd1-e9e7-4e5e-b11d-81631a76918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e0733bb-3c5b-4832-8083-59be9f472a0c}" ma:internalName="TaxCatchAll" ma:showField="CatchAllData" ma:web="f4ce3fd1-e9e7-4e5e-b11d-81631a7691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D1D15A-AB70-4EC9-9FA1-84B190674EEB}">
  <ds:schemaRefs>
    <ds:schemaRef ds:uri="http://schemas.microsoft.com/office/2006/metadata/properties"/>
    <ds:schemaRef ds:uri="http://schemas.microsoft.com/office/infopath/2007/PartnerControls"/>
    <ds:schemaRef ds:uri="f4ce3fd1-e9e7-4e5e-b11d-81631a76918c"/>
    <ds:schemaRef ds:uri="3cdc491e-f344-4c25-9a4f-58b3c4fe13e0"/>
  </ds:schemaRefs>
</ds:datastoreItem>
</file>

<file path=customXml/itemProps2.xml><?xml version="1.0" encoding="utf-8"?>
<ds:datastoreItem xmlns:ds="http://schemas.openxmlformats.org/officeDocument/2006/customXml" ds:itemID="{84F56247-5B98-473B-9623-7B6CD4BEDF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58028D-6844-4C24-926D-B57466B996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dc491e-f344-4c25-9a4f-58b3c4fe13e0"/>
    <ds:schemaRef ds:uri="f4ce3fd1-e9e7-4e5e-b11d-81631a7691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MIA 2025</vt:lpstr>
      <vt:lpstr>Hoja1</vt:lpstr>
      <vt:lpstr>Calendario 2025</vt:lpstr>
      <vt:lpstr>Calendario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Gesem Isaac Zapata Miranda</dc:creator>
  <cp:keywords/>
  <dc:description/>
  <cp:lastModifiedBy>Miguel Ortega</cp:lastModifiedBy>
  <cp:revision/>
  <dcterms:created xsi:type="dcterms:W3CDTF">2015-06-05T18:19:34Z</dcterms:created>
  <dcterms:modified xsi:type="dcterms:W3CDTF">2025-11-24T20:26:32Z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0x0101000EEFA377AB145E4B9F36D68B06EC540D</vt:lpwstr>
  </property>
  <property fmtid="{D5CDD505-2E9C-101B-9397-08002B2CF9AE}" pid="3" name="MediaServiceImageTags">
    <vt:lpwstr/>
  </property>
</Properties>
</file>